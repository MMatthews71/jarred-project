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New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Edge Board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Power Ratings" sheetId="5" state="visible" r:id="rId5"/>
    <sheet xmlns:r="http://schemas.openxmlformats.org/officeDocument/2006/relationships" name="Weekly Input" sheetId="6" state="visible" r:id="rId6"/>
    <sheet xmlns:r="http://schemas.openxmlformats.org/officeDocument/2006/relationships" name="Auto Feed" sheetId="7" state="visible" r:id="rId7"/>
    <sheet xmlns:r="http://schemas.openxmlformats.org/officeDocument/2006/relationships" name="Weights &amp; Params" sheetId="8" state="visible" r:id="rId8"/>
  </sheets>
  <definedNames>
    <definedName name="TeamList">'Power Ratings'!$B$2:$B$139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0.000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222222"/>
      <sz val="10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11"/>
    </font>
    <font>
      <name val="Arial"/>
      <b val="1"/>
      <color rgb="000000FF"/>
      <sz val="11"/>
    </font>
    <font>
      <name val="Arial"/>
      <i val="1"/>
      <color rgb="00808080"/>
      <sz val="9"/>
    </font>
    <font>
      <name val="Arial"/>
      <b val="1"/>
      <color rgb="00222222"/>
      <sz val="11"/>
    </font>
    <font>
      <name val="Arial"/>
      <b val="1"/>
      <color rgb="00222222"/>
      <sz val="9"/>
    </font>
    <font>
      <name val="Arial"/>
      <b val="1"/>
      <color rgb="001F3864"/>
      <sz val="10"/>
    </font>
    <font>
      <name val="Arial"/>
      <b val="1"/>
      <color rgb="000000FF"/>
      <sz val="12"/>
    </font>
    <font>
      <name val="Arial"/>
      <color rgb="00222222"/>
      <sz val="11"/>
    </font>
    <font>
      <name val="Arial"/>
      <b val="1"/>
      <color rgb="001F3864"/>
      <sz val="12"/>
    </font>
    <font>
      <name val="Arial"/>
      <b val="1"/>
      <color rgb="00FFFFFF"/>
      <sz val="18"/>
    </font>
    <font>
      <name val="Arial"/>
      <color rgb="00BFBFBF"/>
      <sz val="8"/>
    </font>
    <font>
      <name val="Arial"/>
      <b val="1"/>
      <color rgb="00FFFFFF"/>
      <sz val="13"/>
    </font>
    <font>
      <name val="Consolas"/>
      <color rgb="001F3864"/>
      <sz val="9"/>
    </font>
    <font>
      <name val="Arial"/>
      <i val="1"/>
      <color rgb="00222222"/>
      <sz val="10"/>
    </font>
    <font>
      <name val="Arial"/>
      <color rgb="00C00000"/>
      <sz val="10"/>
    </font>
    <font>
      <b val="1"/>
      <color rgb="00FFFFFF"/>
      <sz val="16"/>
    </font>
    <font>
      <color rgb="00FFFFFF"/>
      <sz val="9"/>
    </font>
    <font>
      <b val="1"/>
      <color rgb="001F3864"/>
      <sz val="11"/>
    </font>
    <font>
      <color rgb="00222222"/>
      <sz val="11"/>
    </font>
    <font>
      <i val="1"/>
      <color rgb="00808080"/>
      <sz val="9"/>
    </font>
    <font>
      <b val="1"/>
      <color rgb="000000FF"/>
      <sz val="12"/>
    </font>
    <font>
      <color rgb="00222222"/>
      <sz val="10"/>
    </font>
    <font>
      <b val="1"/>
      <color rgb="00FFFFFF"/>
      <sz val="18"/>
    </font>
    <font>
      <b val="1"/>
      <color rgb="00FFFFFF"/>
      <sz val="11"/>
    </font>
    <font>
      <i val="1"/>
      <color rgb="00808080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EAF1FA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164" fontId="13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164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9" fontId="8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center" vertical="center" wrapText="1"/>
    </xf>
    <xf numFmtId="2" fontId="10" fillId="0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165" fontId="14" fillId="0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6" fontId="0" fillId="0" borderId="0" pivotButton="0" quotePrefix="0" xfId="0"/>
    <xf numFmtId="164" fontId="15" fillId="6" borderId="1" applyAlignment="1" pivotButton="0" quotePrefix="0" xfId="0">
      <alignment horizontal="center" vertical="center" wrapText="1"/>
    </xf>
    <xf numFmtId="0" fontId="22" fillId="5" borderId="0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left" vertical="center" wrapText="1"/>
    </xf>
    <xf numFmtId="0" fontId="24" fillId="7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164" fontId="25" fillId="0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9" fontId="25" fillId="0" borderId="2" applyAlignment="1" pivotButton="0" quotePrefix="0" xfId="0">
      <alignment horizontal="center" vertical="center" wrapText="1"/>
    </xf>
    <xf numFmtId="164" fontId="27" fillId="3" borderId="2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center" vertical="center" wrapText="1"/>
    </xf>
    <xf numFmtId="0" fontId="24" fillId="6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30" fillId="5" borderId="0" applyAlignment="1" pivotButton="0" quotePrefix="0" xfId="0">
      <alignment horizontal="left" vertical="center"/>
    </xf>
    <xf numFmtId="0" fontId="31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25" fillId="0" borderId="2" applyAlignment="1" pivotButton="0" quotePrefix="0" xfId="0">
      <alignment horizontal="left" vertical="center" wrapText="1"/>
    </xf>
    <xf numFmtId="0" fontId="32" fillId="0" borderId="0" applyAlignment="1" pivotButton="0" quotePrefix="0" xfId="0">
      <alignment vertical="bottom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Model</author>
  </authors>
  <commentList>
    <comment ref="A4" authorId="0" shapeId="0">
      <text>
        <t>Example games — type over these with the current week's matchups and Vegas lines. Blank rows are ignored by the ranked board.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1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</cols>
  <sheetData>
    <row r="2">
      <c r="A2" s="79" t="inlineStr">
        <is>
          <t>Team</t>
        </is>
      </c>
      <c r="B2" s="79" t="inlineStr">
        <is>
          <t>Games played</t>
        </is>
      </c>
      <c r="C2" s="79" t="inlineStr">
        <is>
          <t>Talent Composite</t>
        </is>
      </c>
      <c r="D2" s="79" t="inlineStr">
        <is>
          <t>Talent Points</t>
        </is>
      </c>
      <c r="E2" s="79" t="inlineStr">
        <is>
          <t>ESPN FPI</t>
        </is>
      </c>
      <c r="F2" s="79" t="inlineStr">
        <is>
          <t>Overall SP+</t>
        </is>
      </c>
      <c r="G2" s="79" t="inlineStr">
        <is>
          <t>Turnover margin</t>
        </is>
      </c>
      <c r="H2" s="79" t="inlineStr">
        <is>
          <t>Off SP+</t>
        </is>
      </c>
      <c r="I2" s="79" t="inlineStr">
        <is>
          <t>Off PPA</t>
        </is>
      </c>
      <c r="J2" s="79" t="inlineStr">
        <is>
          <t>Off YPP</t>
        </is>
      </c>
      <c r="K2" s="79" t="inlineStr">
        <is>
          <t>Off Havoc Rate</t>
        </is>
      </c>
      <c r="L2" s="79" t="inlineStr">
        <is>
          <t>Off Success Rate</t>
        </is>
      </c>
      <c r="M2" s="79" t="inlineStr">
        <is>
          <t>First Downs</t>
        </is>
      </c>
      <c r="N2" s="79" t="inlineStr">
        <is>
          <t>Time of possession</t>
        </is>
      </c>
      <c r="O2" s="79" t="inlineStr">
        <is>
          <t>Def SP+</t>
        </is>
      </c>
      <c r="P2" s="79" t="inlineStr">
        <is>
          <t>Def PPA</t>
        </is>
      </c>
      <c r="Q2" s="79" t="inlineStr">
        <is>
          <t>Def YPP</t>
        </is>
      </c>
      <c r="R2" s="79" t="inlineStr">
        <is>
          <t>Def Havoc Rate</t>
        </is>
      </c>
      <c r="S2" s="79" t="inlineStr">
        <is>
          <t>Def Success Rate</t>
        </is>
      </c>
      <c r="T2" s="79" t="inlineStr">
        <is>
          <t>Opponent First Downs</t>
        </is>
      </c>
      <c r="U2" s="79" t="inlineStr">
        <is>
          <t>Special Teams SP+</t>
        </is>
      </c>
      <c r="V2" s="79" t="inlineStr">
        <is>
          <t>FG (Made/Attempted)</t>
        </is>
      </c>
      <c r="W2" s="79" t="inlineStr">
        <is>
          <t>Avg Punt Yards</t>
        </is>
      </c>
      <c r="X2" s="79" t="inlineStr">
        <is>
          <t>Avg Punt Return Yds gained</t>
        </is>
      </c>
      <c r="Y2" s="79" t="inlineStr">
        <is>
          <t>Avg Kick Return Yds gained</t>
        </is>
      </c>
      <c r="Z2" s="79" t="inlineStr">
        <is>
          <t>opponent Average Punt Return Yds</t>
        </is>
      </c>
      <c r="AA2" s="79" t="inlineStr">
        <is>
          <t>opponent average kick return Yds</t>
        </is>
      </c>
    </row>
    <row r="3">
      <c r="A3" t="inlineStr">
        <is>
          <t>Air Force</t>
        </is>
      </c>
      <c r="B3" t="n">
        <v>2</v>
      </c>
      <c r="C3" t="n">
        <v>272.35</v>
      </c>
      <c r="D3">
        <f>IFERROR(INDEX('Power Ratings'!$L$2:$L$139,MATCH($A3,'Power Ratings'!$B$2:$B$139,0)),"")</f>
        <v/>
      </c>
      <c r="E3" t="n">
        <v>-5.87</v>
      </c>
      <c r="F3" t="n">
        <v>-2.8</v>
      </c>
      <c r="G3" t="n">
        <v>2</v>
      </c>
      <c r="H3" t="n">
        <v>25.4</v>
      </c>
      <c r="I3" t="n">
        <v>0.32</v>
      </c>
      <c r="J3" t="n">
        <v>5.81</v>
      </c>
      <c r="K3" t="n">
        <v>0.054</v>
      </c>
      <c r="L3" t="n">
        <v>0.524</v>
      </c>
      <c r="M3" t="n">
        <v>49</v>
      </c>
      <c r="N3" t="inlineStr">
        <is>
          <t>35:52</t>
        </is>
      </c>
      <c r="O3" t="n">
        <v>28.3</v>
      </c>
      <c r="P3" t="n">
        <v>-0.08</v>
      </c>
      <c r="Q3" t="n">
        <v>4.67</v>
      </c>
      <c r="R3" t="n">
        <v>0.142</v>
      </c>
      <c r="S3" t="n">
        <v>0.311</v>
      </c>
      <c r="T3" t="n">
        <v>26</v>
      </c>
      <c r="U3" t="n">
        <v>0.1</v>
      </c>
      <c r="V3" t="inlineStr">
        <is>
          <t>2/3</t>
        </is>
      </c>
      <c r="W3" t="n">
        <v>56</v>
      </c>
      <c r="X3" t="n">
        <v>0</v>
      </c>
      <c r="Z3" t="n">
        <v>40</v>
      </c>
    </row>
    <row r="4">
      <c r="A4" t="inlineStr">
        <is>
          <t>Akron</t>
        </is>
      </c>
      <c r="B4" t="n">
        <v>3</v>
      </c>
      <c r="C4" t="n">
        <v>546.84</v>
      </c>
      <c r="D4">
        <f>IFERROR(INDEX('Power Ratings'!$L$2:$L$139,MATCH($A4,'Power Ratings'!$B$2:$B$139,0)),"")</f>
        <v/>
      </c>
      <c r="E4" t="n">
        <v>-17.883</v>
      </c>
      <c r="F4" t="n">
        <v>-20.8</v>
      </c>
      <c r="G4" t="n">
        <v>-1</v>
      </c>
      <c r="H4" t="n">
        <v>13.4</v>
      </c>
      <c r="I4" t="n">
        <v>0.08</v>
      </c>
      <c r="J4" t="n">
        <v>5.22</v>
      </c>
      <c r="K4" t="n">
        <v>0.199</v>
      </c>
      <c r="L4" t="n">
        <v>0.463</v>
      </c>
      <c r="M4" t="n">
        <v>64</v>
      </c>
      <c r="N4" t="inlineStr">
        <is>
          <t>30:35</t>
        </is>
      </c>
      <c r="O4" t="n">
        <v>33.6</v>
      </c>
      <c r="P4" t="n">
        <v>0.18</v>
      </c>
      <c r="Q4" t="n">
        <v>6.34</v>
      </c>
      <c r="R4" t="n">
        <v>0.175</v>
      </c>
      <c r="S4" t="n">
        <v>0.41</v>
      </c>
      <c r="T4" t="n">
        <v>52</v>
      </c>
      <c r="U4" t="n">
        <v>-0.6</v>
      </c>
      <c r="V4" t="inlineStr">
        <is>
          <t>2/2</t>
        </is>
      </c>
      <c r="W4" t="n">
        <v>42</v>
      </c>
      <c r="X4" t="n">
        <v>6.3</v>
      </c>
      <c r="Y4" t="n">
        <v>35</v>
      </c>
      <c r="Z4" t="n">
        <v>20.7</v>
      </c>
      <c r="AA4" t="n">
        <v>23.8</v>
      </c>
    </row>
    <row r="5">
      <c r="A5" t="inlineStr">
        <is>
          <t>Alabama</t>
        </is>
      </c>
      <c r="B5" t="n">
        <v>3</v>
      </c>
      <c r="C5" t="n">
        <v>973.53</v>
      </c>
      <c r="D5">
        <f>IFERROR(INDEX('Power Ratings'!$L$2:$L$139,MATCH($A5,'Power Ratings'!$B$2:$B$139,0)),"")</f>
        <v/>
      </c>
      <c r="E5" t="n">
        <v>22.458</v>
      </c>
      <c r="F5" t="n">
        <v>19.5</v>
      </c>
      <c r="G5" t="n">
        <v>3</v>
      </c>
      <c r="H5" t="n">
        <v>34.5</v>
      </c>
      <c r="I5" t="n">
        <v>0.28</v>
      </c>
      <c r="J5" t="n">
        <v>6.65</v>
      </c>
      <c r="K5" t="n">
        <v>0.157</v>
      </c>
      <c r="L5" t="n">
        <v>0.5</v>
      </c>
      <c r="M5" t="n">
        <v>75</v>
      </c>
      <c r="N5" t="inlineStr">
        <is>
          <t>34:25</t>
        </is>
      </c>
      <c r="O5" t="n">
        <v>14.7</v>
      </c>
      <c r="P5" t="n">
        <v>-0.11</v>
      </c>
      <c r="Q5" t="n">
        <v>4.98</v>
      </c>
      <c r="R5" t="n">
        <v>0.218</v>
      </c>
      <c r="S5" t="n">
        <v>0.333</v>
      </c>
      <c r="T5" t="n">
        <v>36</v>
      </c>
      <c r="U5" t="n">
        <v>-0.3</v>
      </c>
      <c r="V5" t="inlineStr">
        <is>
          <t>8/8</t>
        </is>
      </c>
      <c r="W5" t="n">
        <v>48.6</v>
      </c>
      <c r="X5" t="n">
        <v>8.4</v>
      </c>
      <c r="Y5" t="n">
        <v>19.7</v>
      </c>
      <c r="Z5" t="n">
        <v>0</v>
      </c>
      <c r="AA5" t="n">
        <v>14.2</v>
      </c>
    </row>
    <row r="6">
      <c r="A6" t="inlineStr">
        <is>
          <t>Appalachian State</t>
        </is>
      </c>
      <c r="B6" t="n">
        <v>3</v>
      </c>
      <c r="C6" t="n">
        <v>621.61</v>
      </c>
      <c r="D6">
        <f>IFERROR(INDEX('Power Ratings'!$L$2:$L$139,MATCH($A6,'Power Ratings'!$B$2:$B$139,0)),"")</f>
        <v/>
      </c>
      <c r="E6" t="n">
        <v>-4.991</v>
      </c>
      <c r="F6" t="n">
        <v>-6.3</v>
      </c>
      <c r="G6" t="n">
        <v>3</v>
      </c>
      <c r="H6" t="n">
        <v>23.4</v>
      </c>
      <c r="I6" t="n">
        <v>0.28</v>
      </c>
      <c r="J6" t="n">
        <v>6.72</v>
      </c>
      <c r="K6" t="n">
        <v>0.116</v>
      </c>
      <c r="L6" t="n">
        <v>0.48</v>
      </c>
      <c r="M6" t="n">
        <v>77</v>
      </c>
      <c r="N6" t="inlineStr">
        <is>
          <t>34:14</t>
        </is>
      </c>
      <c r="O6" t="n">
        <v>30.1</v>
      </c>
      <c r="P6" t="n">
        <v>0</v>
      </c>
      <c r="Q6" t="n">
        <v>4.76</v>
      </c>
      <c r="R6" t="n">
        <v>0.187</v>
      </c>
      <c r="S6" t="n">
        <v>0.378</v>
      </c>
      <c r="T6" t="n">
        <v>49</v>
      </c>
      <c r="U6" t="n">
        <v>0.3</v>
      </c>
      <c r="V6" t="inlineStr">
        <is>
          <t>6/7</t>
        </is>
      </c>
      <c r="W6" t="n">
        <v>41.5</v>
      </c>
      <c r="X6" t="n">
        <v>3.7</v>
      </c>
      <c r="Y6" t="n">
        <v>11.2</v>
      </c>
      <c r="Z6" t="n">
        <v>2</v>
      </c>
      <c r="AA6" t="n">
        <v>19</v>
      </c>
    </row>
    <row r="7">
      <c r="A7" t="inlineStr">
        <is>
          <t>Arizona</t>
        </is>
      </c>
      <c r="B7" t="n">
        <v>3</v>
      </c>
      <c r="C7" t="n">
        <v>699.59</v>
      </c>
      <c r="D7">
        <f>IFERROR(INDEX('Power Ratings'!$L$2:$L$139,MATCH($A7,'Power Ratings'!$B$2:$B$139,0)),"")</f>
        <v/>
      </c>
      <c r="E7" t="n">
        <v>5.899</v>
      </c>
      <c r="F7" t="n">
        <v>9.800000000000001</v>
      </c>
      <c r="G7" t="n">
        <v>-4</v>
      </c>
      <c r="H7" t="n">
        <v>31.7</v>
      </c>
      <c r="I7" t="n">
        <v>0.23</v>
      </c>
      <c r="J7" t="n">
        <v>6.51</v>
      </c>
      <c r="K7" t="n">
        <v>0.108</v>
      </c>
      <c r="L7" t="n">
        <v>0.52</v>
      </c>
      <c r="M7" t="n">
        <v>69</v>
      </c>
      <c r="N7" t="inlineStr">
        <is>
          <t>32:04</t>
        </is>
      </c>
      <c r="O7" t="n">
        <v>21.6</v>
      </c>
      <c r="P7" t="n">
        <v>0.04</v>
      </c>
      <c r="Q7" t="n">
        <v>5.14</v>
      </c>
      <c r="R7" t="n">
        <v>0.156</v>
      </c>
      <c r="S7" t="n">
        <v>0.363</v>
      </c>
      <c r="T7" t="n">
        <v>45</v>
      </c>
      <c r="U7" t="n">
        <v>-0.4</v>
      </c>
      <c r="V7" t="inlineStr">
        <is>
          <t>1/1</t>
        </is>
      </c>
      <c r="W7" t="n">
        <v>44</v>
      </c>
      <c r="X7" t="n">
        <v>24.7</v>
      </c>
      <c r="Y7" t="n">
        <v>28.5</v>
      </c>
      <c r="AA7" t="n">
        <v>46</v>
      </c>
    </row>
    <row r="8">
      <c r="A8" t="inlineStr">
        <is>
          <t>Arizona State</t>
        </is>
      </c>
      <c r="B8" t="n">
        <v>3</v>
      </c>
      <c r="C8" t="n">
        <v>722</v>
      </c>
      <c r="D8">
        <f>IFERROR(INDEX('Power Ratings'!$L$2:$L$139,MATCH($A8,'Power Ratings'!$B$2:$B$139,0)),"")</f>
        <v/>
      </c>
      <c r="E8" t="n">
        <v>3.765</v>
      </c>
      <c r="F8" t="n">
        <v>5.3</v>
      </c>
      <c r="G8" t="n">
        <v>-1</v>
      </c>
      <c r="H8" t="n">
        <v>27.5</v>
      </c>
      <c r="I8" t="n">
        <v>0.06</v>
      </c>
      <c r="J8" t="n">
        <v>6.39</v>
      </c>
      <c r="K8" t="n">
        <v>0.163</v>
      </c>
      <c r="L8" t="n">
        <v>0.416</v>
      </c>
      <c r="M8" t="n">
        <v>61</v>
      </c>
      <c r="N8" t="inlineStr">
        <is>
          <t>30:11</t>
        </is>
      </c>
      <c r="O8" t="n">
        <v>21.7</v>
      </c>
      <c r="P8" t="n">
        <v>0.02</v>
      </c>
      <c r="Q8" t="n">
        <v>4.68</v>
      </c>
      <c r="R8" t="n">
        <v>0.159</v>
      </c>
      <c r="S8" t="n">
        <v>0.37</v>
      </c>
      <c r="T8" t="n">
        <v>47</v>
      </c>
      <c r="U8" t="n">
        <v>-0.5</v>
      </c>
      <c r="V8" t="inlineStr">
        <is>
          <t>3/3</t>
        </is>
      </c>
      <c r="W8" t="n">
        <v>42.2</v>
      </c>
      <c r="X8" t="n">
        <v>4</v>
      </c>
      <c r="Y8" t="n">
        <v>46</v>
      </c>
      <c r="Z8" t="n">
        <v>32.7</v>
      </c>
      <c r="AA8" t="n">
        <v>17.8</v>
      </c>
    </row>
    <row r="9">
      <c r="A9" t="inlineStr">
        <is>
          <t>Arkansas</t>
        </is>
      </c>
      <c r="B9" t="n">
        <v>3</v>
      </c>
      <c r="C9" t="n">
        <v>745.48</v>
      </c>
      <c r="D9">
        <f>IFERROR(INDEX('Power Ratings'!$L$2:$L$139,MATCH($A9,'Power Ratings'!$B$2:$B$139,0)),"")</f>
        <v/>
      </c>
      <c r="E9" t="n">
        <v>-1.557</v>
      </c>
      <c r="F9" t="n">
        <v>-0.3</v>
      </c>
      <c r="G9" t="n">
        <v>-3</v>
      </c>
      <c r="H9" t="n">
        <v>30.6</v>
      </c>
      <c r="I9" t="n">
        <v>0.04</v>
      </c>
      <c r="J9" t="n">
        <v>4.59</v>
      </c>
      <c r="K9" t="n">
        <v>0.195</v>
      </c>
      <c r="L9" t="n">
        <v>0.425</v>
      </c>
      <c r="M9" t="n">
        <v>68</v>
      </c>
      <c r="N9" t="inlineStr">
        <is>
          <t>32:34</t>
        </is>
      </c>
      <c r="O9" t="n">
        <v>31.1</v>
      </c>
      <c r="P9" t="n">
        <v>0.23</v>
      </c>
      <c r="Q9" t="n">
        <v>6.27</v>
      </c>
      <c r="R9" t="n">
        <v>0.132</v>
      </c>
      <c r="S9" t="n">
        <v>0.454</v>
      </c>
      <c r="T9" t="n">
        <v>54</v>
      </c>
      <c r="U9" t="n">
        <v>0.3</v>
      </c>
      <c r="V9" t="inlineStr">
        <is>
          <t>3/4</t>
        </is>
      </c>
      <c r="W9" t="n">
        <v>42.8</v>
      </c>
      <c r="X9" t="n">
        <v>14</v>
      </c>
      <c r="Y9" t="n">
        <v>25</v>
      </c>
      <c r="Z9" t="n">
        <v>3</v>
      </c>
    </row>
    <row r="10">
      <c r="A10" t="inlineStr">
        <is>
          <t>Arkansas State</t>
        </is>
      </c>
      <c r="B10" t="n">
        <v>3</v>
      </c>
      <c r="C10" t="n">
        <v>606.22</v>
      </c>
      <c r="D10">
        <f>IFERROR(INDEX('Power Ratings'!$L$2:$L$139,MATCH($A10,'Power Ratings'!$B$2:$B$139,0)),"")</f>
        <v/>
      </c>
      <c r="E10" t="n">
        <v>-10.196</v>
      </c>
      <c r="F10" t="n">
        <v>-9.5</v>
      </c>
      <c r="G10" t="n">
        <v>2</v>
      </c>
      <c r="H10" t="n">
        <v>23.7</v>
      </c>
      <c r="I10" t="n">
        <v>0.12</v>
      </c>
      <c r="J10" t="n">
        <v>6.39</v>
      </c>
      <c r="K10" t="n">
        <v>0.138</v>
      </c>
      <c r="L10" t="n">
        <v>0.489</v>
      </c>
      <c r="M10" t="n">
        <v>54</v>
      </c>
      <c r="N10" t="inlineStr">
        <is>
          <t>29:20</t>
        </is>
      </c>
      <c r="O10" t="n">
        <v>33.3</v>
      </c>
      <c r="P10" t="n">
        <v>0.19</v>
      </c>
      <c r="Q10" t="n">
        <v>6.54</v>
      </c>
      <c r="R10" t="n">
        <v>0.126</v>
      </c>
      <c r="S10" t="n">
        <v>0.447</v>
      </c>
      <c r="T10" t="n">
        <v>58</v>
      </c>
      <c r="U10" t="n">
        <v>0.1</v>
      </c>
      <c r="V10" t="inlineStr">
        <is>
          <t>2/2</t>
        </is>
      </c>
      <c r="W10" t="n">
        <v>38.1</v>
      </c>
      <c r="X10" t="n">
        <v>6.8</v>
      </c>
      <c r="Y10" t="n">
        <v>4</v>
      </c>
      <c r="Z10" t="n">
        <v>6.5</v>
      </c>
      <c r="AA10" t="n">
        <v>15</v>
      </c>
    </row>
    <row r="11">
      <c r="A11" t="inlineStr">
        <is>
          <t>Army</t>
        </is>
      </c>
      <c r="B11" t="n">
        <v>2</v>
      </c>
      <c r="C11" t="n">
        <v>303.83</v>
      </c>
      <c r="D11">
        <f>IFERROR(INDEX('Power Ratings'!$L$2:$L$139,MATCH($A11,'Power Ratings'!$B$2:$B$139,0)),"")</f>
        <v/>
      </c>
      <c r="E11" t="n">
        <v>-2.68</v>
      </c>
      <c r="F11" t="n">
        <v>0.2</v>
      </c>
      <c r="G11" t="n">
        <v>-1</v>
      </c>
      <c r="H11" t="n">
        <v>26.5</v>
      </c>
      <c r="I11" t="n">
        <v>0.42</v>
      </c>
      <c r="J11" t="n">
        <v>7.54</v>
      </c>
      <c r="K11" t="n">
        <v>0.051</v>
      </c>
      <c r="L11" t="n">
        <v>0.588</v>
      </c>
      <c r="M11" t="n">
        <v>52</v>
      </c>
      <c r="N11" t="inlineStr">
        <is>
          <t>34:22</t>
        </is>
      </c>
      <c r="O11" t="n">
        <v>26.3</v>
      </c>
      <c r="P11" t="n">
        <v>0.11</v>
      </c>
      <c r="Q11" t="n">
        <v>4.94</v>
      </c>
      <c r="R11" t="n">
        <v>0.155</v>
      </c>
      <c r="S11" t="n">
        <v>0.418</v>
      </c>
      <c r="T11" t="n">
        <v>30</v>
      </c>
      <c r="U11" t="n">
        <v>0.1</v>
      </c>
      <c r="V11" t="inlineStr">
        <is>
          <t>2/3</t>
        </is>
      </c>
      <c r="W11" t="n">
        <v>49</v>
      </c>
      <c r="X11" t="n">
        <v>17.4</v>
      </c>
      <c r="Y11" t="n">
        <v>19</v>
      </c>
      <c r="Z11" t="n">
        <v>7</v>
      </c>
      <c r="AA11" t="n">
        <v>15.6</v>
      </c>
    </row>
    <row r="12">
      <c r="A12" t="inlineStr">
        <is>
          <t>Auburn</t>
        </is>
      </c>
      <c r="B12" t="n">
        <v>3</v>
      </c>
      <c r="C12" t="n">
        <v>828.1900000000001</v>
      </c>
      <c r="D12">
        <f>IFERROR(INDEX('Power Ratings'!$L$2:$L$139,MATCH($A12,'Power Ratings'!$B$2:$B$139,0)),"")</f>
        <v/>
      </c>
      <c r="E12" t="n">
        <v>12.866</v>
      </c>
      <c r="F12" t="n">
        <v>11.6</v>
      </c>
      <c r="G12" t="n">
        <v>0</v>
      </c>
      <c r="H12" t="n">
        <v>29.3</v>
      </c>
      <c r="I12" t="n">
        <v>0.14</v>
      </c>
      <c r="J12" t="n">
        <v>6.07</v>
      </c>
      <c r="K12" t="n">
        <v>0.163</v>
      </c>
      <c r="L12" t="n">
        <v>0.449</v>
      </c>
      <c r="M12" t="n">
        <v>77</v>
      </c>
      <c r="N12" t="inlineStr">
        <is>
          <t>27:00</t>
        </is>
      </c>
      <c r="O12" t="n">
        <v>18</v>
      </c>
      <c r="P12" t="n">
        <v>0.04</v>
      </c>
      <c r="Q12" t="n">
        <v>4.94</v>
      </c>
      <c r="R12" t="n">
        <v>0.164</v>
      </c>
      <c r="S12" t="n">
        <v>0.378</v>
      </c>
      <c r="T12" t="n">
        <v>63</v>
      </c>
      <c r="U12" t="n">
        <v>0.3</v>
      </c>
      <c r="V12" t="inlineStr">
        <is>
          <t>4/5</t>
        </is>
      </c>
      <c r="W12" t="n">
        <v>40.2</v>
      </c>
      <c r="X12" t="n">
        <v>0</v>
      </c>
      <c r="Y12" t="n">
        <v>22.2</v>
      </c>
      <c r="Z12" t="n">
        <v>6.5</v>
      </c>
    </row>
    <row r="13">
      <c r="A13" t="inlineStr">
        <is>
          <t>BYU</t>
        </is>
      </c>
      <c r="B13" t="n">
        <v>3</v>
      </c>
      <c r="C13" t="n">
        <v>689.42</v>
      </c>
      <c r="D13">
        <f>IFERROR(INDEX('Power Ratings'!$L$2:$L$139,MATCH($A13,'Power Ratings'!$B$2:$B$139,0)),"")</f>
        <v/>
      </c>
      <c r="E13" t="n">
        <v>15.196</v>
      </c>
      <c r="F13" t="n">
        <v>17.5</v>
      </c>
      <c r="G13" t="n">
        <v>4</v>
      </c>
      <c r="H13" t="n">
        <v>35</v>
      </c>
      <c r="I13" t="n">
        <v>0.45</v>
      </c>
      <c r="J13" t="n">
        <v>7.94</v>
      </c>
      <c r="K13" t="n">
        <v>0.059</v>
      </c>
      <c r="L13" t="n">
        <v>0.599</v>
      </c>
      <c r="M13" t="n">
        <v>67</v>
      </c>
      <c r="N13" t="inlineStr">
        <is>
          <t>31:05</t>
        </is>
      </c>
      <c r="O13" t="n">
        <v>17.7</v>
      </c>
      <c r="P13" t="n">
        <v>-0.06</v>
      </c>
      <c r="Q13" t="n">
        <v>4.44</v>
      </c>
      <c r="R13" t="n">
        <v>0.171</v>
      </c>
      <c r="S13" t="n">
        <v>0.369</v>
      </c>
      <c r="T13" t="n">
        <v>48</v>
      </c>
      <c r="U13" t="n">
        <v>0.3</v>
      </c>
      <c r="V13" t="inlineStr">
        <is>
          <t>2/3</t>
        </is>
      </c>
      <c r="W13" t="n">
        <v>48.1</v>
      </c>
      <c r="X13" t="n">
        <v>16.7</v>
      </c>
      <c r="Y13" t="n">
        <v>42</v>
      </c>
      <c r="Z13" t="n">
        <v>5</v>
      </c>
      <c r="AA13" t="n">
        <v>34</v>
      </c>
    </row>
    <row r="14">
      <c r="A14" t="inlineStr">
        <is>
          <t>Ball State</t>
        </is>
      </c>
      <c r="B14" t="n">
        <v>3</v>
      </c>
      <c r="C14" t="n">
        <v>563.88</v>
      </c>
      <c r="D14">
        <f>IFERROR(INDEX('Power Ratings'!$L$2:$L$139,MATCH($A14,'Power Ratings'!$B$2:$B$139,0)),"")</f>
        <v/>
      </c>
      <c r="E14" t="n">
        <v>-21.598</v>
      </c>
      <c r="F14" t="n">
        <v>-24.3</v>
      </c>
      <c r="G14" t="n">
        <v>1</v>
      </c>
      <c r="H14" t="n">
        <v>13.5</v>
      </c>
      <c r="I14" t="n">
        <v>0.04</v>
      </c>
      <c r="J14" t="n">
        <v>4.93</v>
      </c>
      <c r="K14" t="n">
        <v>0.205</v>
      </c>
      <c r="L14" t="n">
        <v>0.358</v>
      </c>
      <c r="M14" t="n">
        <v>53</v>
      </c>
      <c r="N14" t="inlineStr">
        <is>
          <t>29:50</t>
        </is>
      </c>
      <c r="O14" t="n">
        <v>37.2</v>
      </c>
      <c r="P14" t="n">
        <v>0.37</v>
      </c>
      <c r="Q14" t="n">
        <v>7.3</v>
      </c>
      <c r="R14" t="n">
        <v>0.129</v>
      </c>
      <c r="S14" t="n">
        <v>0.49</v>
      </c>
      <c r="T14" t="n">
        <v>70</v>
      </c>
      <c r="U14" t="n">
        <v>-0.5</v>
      </c>
      <c r="V14" t="inlineStr">
        <is>
          <t>3/4</t>
        </is>
      </c>
      <c r="W14" t="n">
        <v>43.2</v>
      </c>
      <c r="X14" t="n">
        <v>19</v>
      </c>
      <c r="Y14" t="n">
        <v>15.8</v>
      </c>
      <c r="Z14" t="n">
        <v>2.4</v>
      </c>
      <c r="AA14" t="n">
        <v>17.5</v>
      </c>
    </row>
    <row r="15">
      <c r="A15" t="inlineStr">
        <is>
          <t>Baylor</t>
        </is>
      </c>
      <c r="B15" t="n">
        <v>3</v>
      </c>
      <c r="C15" t="n">
        <v>723.28</v>
      </c>
      <c r="D15">
        <f>IFERROR(INDEX('Power Ratings'!$L$2:$L$139,MATCH($A15,'Power Ratings'!$B$2:$B$139,0)),"")</f>
        <v/>
      </c>
      <c r="E15" t="n">
        <v>8.095000000000001</v>
      </c>
      <c r="F15" t="n">
        <v>6.8</v>
      </c>
      <c r="G15" t="n">
        <v>-1</v>
      </c>
      <c r="H15" t="n">
        <v>31.7</v>
      </c>
      <c r="I15" t="n">
        <v>0.14</v>
      </c>
      <c r="J15" t="n">
        <v>5.6</v>
      </c>
      <c r="K15" t="n">
        <v>0.157</v>
      </c>
      <c r="L15" t="n">
        <v>0.416</v>
      </c>
      <c r="M15" t="n">
        <v>81</v>
      </c>
      <c r="N15" t="inlineStr">
        <is>
          <t>31:32</t>
        </is>
      </c>
      <c r="O15" t="n">
        <v>25.4</v>
      </c>
      <c r="P15" t="n">
        <v>-0.1</v>
      </c>
      <c r="Q15" t="n">
        <v>4.18</v>
      </c>
      <c r="R15" t="n">
        <v>0.202</v>
      </c>
      <c r="S15" t="n">
        <v>0.308</v>
      </c>
      <c r="T15" t="n">
        <v>56</v>
      </c>
      <c r="U15" t="n">
        <v>0.6</v>
      </c>
      <c r="V15" t="inlineStr">
        <is>
          <t>5/7</t>
        </is>
      </c>
      <c r="W15" t="n">
        <v>50.9</v>
      </c>
      <c r="X15" t="n">
        <v>5.8</v>
      </c>
      <c r="Y15" t="n">
        <v>31.5</v>
      </c>
      <c r="Z15" t="n">
        <v>2</v>
      </c>
      <c r="AA15" t="n">
        <v>17</v>
      </c>
    </row>
    <row r="16">
      <c r="A16" t="inlineStr">
        <is>
          <t>Boise State</t>
        </is>
      </c>
      <c r="B16" t="n">
        <v>3</v>
      </c>
      <c r="C16" t="n">
        <v>641.17</v>
      </c>
      <c r="D16">
        <f>IFERROR(INDEX('Power Ratings'!$L$2:$L$139,MATCH($A16,'Power Ratings'!$B$2:$B$139,0)),"")</f>
        <v/>
      </c>
      <c r="E16" t="n">
        <v>8.137</v>
      </c>
      <c r="F16" t="n">
        <v>6.9</v>
      </c>
      <c r="G16" t="n">
        <v>2</v>
      </c>
      <c r="H16" t="n">
        <v>31.2</v>
      </c>
      <c r="I16" t="n">
        <v>0.28</v>
      </c>
      <c r="J16" t="n">
        <v>6.32</v>
      </c>
      <c r="K16" t="n">
        <v>0.103</v>
      </c>
      <c r="L16" t="n">
        <v>0.493</v>
      </c>
      <c r="M16" t="n">
        <v>75</v>
      </c>
      <c r="N16" t="inlineStr">
        <is>
          <t>37:05</t>
        </is>
      </c>
      <c r="O16" t="n">
        <v>24.1</v>
      </c>
      <c r="P16" t="n">
        <v>0.08</v>
      </c>
      <c r="Q16" t="n">
        <v>7.85</v>
      </c>
      <c r="R16" t="n">
        <v>0.21</v>
      </c>
      <c r="S16" t="n">
        <v>0.347</v>
      </c>
      <c r="T16" t="n">
        <v>46</v>
      </c>
      <c r="U16" t="n">
        <v>-0.2</v>
      </c>
      <c r="V16" t="inlineStr">
        <is>
          <t>4/4</t>
        </is>
      </c>
      <c r="W16" t="n">
        <v>44.8</v>
      </c>
      <c r="X16" t="n">
        <v>17.8</v>
      </c>
      <c r="Y16" t="n">
        <v>30</v>
      </c>
      <c r="Z16" t="n">
        <v>1</v>
      </c>
      <c r="AA16" t="n">
        <v>17.7</v>
      </c>
    </row>
    <row r="17">
      <c r="A17" t="inlineStr">
        <is>
          <t>Boston College</t>
        </is>
      </c>
      <c r="B17" t="n">
        <v>3</v>
      </c>
      <c r="C17" t="n">
        <v>660</v>
      </c>
      <c r="D17">
        <f>IFERROR(INDEX('Power Ratings'!$L$2:$L$139,MATCH($A17,'Power Ratings'!$B$2:$B$139,0)),"")</f>
        <v/>
      </c>
      <c r="E17" t="n">
        <v>-5.793</v>
      </c>
      <c r="F17" t="n">
        <v>-4.9</v>
      </c>
      <c r="G17" t="n">
        <v>0</v>
      </c>
      <c r="H17" t="n">
        <v>22.8</v>
      </c>
      <c r="I17" t="n">
        <v>-0.04</v>
      </c>
      <c r="J17" t="n">
        <v>5.92</v>
      </c>
      <c r="K17" t="n">
        <v>0.162</v>
      </c>
      <c r="L17" t="n">
        <v>0.399</v>
      </c>
      <c r="M17" t="n">
        <v>60</v>
      </c>
      <c r="N17" t="inlineStr">
        <is>
          <t>28:53</t>
        </is>
      </c>
      <c r="O17" t="n">
        <v>28</v>
      </c>
      <c r="P17" t="n">
        <v>0.03</v>
      </c>
      <c r="Q17" t="n">
        <v>5.09</v>
      </c>
      <c r="R17" t="n">
        <v>0.176</v>
      </c>
      <c r="S17" t="n">
        <v>0.382</v>
      </c>
      <c r="T17" t="n">
        <v>54</v>
      </c>
      <c r="U17" t="n">
        <v>0.3</v>
      </c>
      <c r="V17" t="inlineStr">
        <is>
          <t>4/5</t>
        </is>
      </c>
      <c r="W17" t="n">
        <v>41.4</v>
      </c>
      <c r="X17" t="n">
        <v>6.7</v>
      </c>
      <c r="Y17" t="n">
        <v>16.5</v>
      </c>
      <c r="Z17" t="n">
        <v>6</v>
      </c>
      <c r="AA17" t="n">
        <v>19.7</v>
      </c>
    </row>
    <row r="18">
      <c r="A18" t="inlineStr">
        <is>
          <t>Bowling Green</t>
        </is>
      </c>
      <c r="B18" t="n">
        <v>3</v>
      </c>
      <c r="C18" t="n">
        <v>568.33</v>
      </c>
      <c r="D18">
        <f>IFERROR(INDEX('Power Ratings'!$L$2:$L$139,MATCH($A18,'Power Ratings'!$B$2:$B$139,0)),"")</f>
        <v/>
      </c>
      <c r="E18" t="n">
        <v>-23.195</v>
      </c>
      <c r="F18" t="n">
        <v>-22</v>
      </c>
      <c r="G18" t="n">
        <v>-3</v>
      </c>
      <c r="H18" t="n">
        <v>11.9</v>
      </c>
      <c r="I18" t="n">
        <v>-0.08</v>
      </c>
      <c r="J18" t="n">
        <v>4.32</v>
      </c>
      <c r="K18" t="n">
        <v>0.183</v>
      </c>
      <c r="L18" t="n">
        <v>0.343</v>
      </c>
      <c r="M18" t="n">
        <v>40</v>
      </c>
      <c r="N18" t="inlineStr">
        <is>
          <t>30:08</t>
        </is>
      </c>
      <c r="O18" t="n">
        <v>34.2</v>
      </c>
      <c r="P18" t="n">
        <v>0.32</v>
      </c>
      <c r="Q18" t="n">
        <v>8.109999999999999</v>
      </c>
      <c r="R18" t="n">
        <v>0.08500000000000001</v>
      </c>
      <c r="S18" t="n">
        <v>0.503</v>
      </c>
      <c r="T18" t="n">
        <v>72</v>
      </c>
      <c r="U18" t="n">
        <v>0.2</v>
      </c>
      <c r="V18" t="inlineStr">
        <is>
          <t>2/2</t>
        </is>
      </c>
      <c r="W18" t="n">
        <v>43.9</v>
      </c>
      <c r="Y18" t="n">
        <v>15.9</v>
      </c>
      <c r="Z18" t="n">
        <v>11.6</v>
      </c>
      <c r="AA18" t="n">
        <v>32.3</v>
      </c>
    </row>
    <row r="19">
      <c r="A19" t="inlineStr">
        <is>
          <t>Buffalo</t>
        </is>
      </c>
      <c r="B19" t="n">
        <v>3</v>
      </c>
      <c r="C19" t="n">
        <v>549.3099999999999</v>
      </c>
      <c r="D19">
        <f>IFERROR(INDEX('Power Ratings'!$L$2:$L$139,MATCH($A19,'Power Ratings'!$B$2:$B$139,0)),"")</f>
        <v/>
      </c>
      <c r="E19" t="n">
        <v>-16.593</v>
      </c>
      <c r="F19" t="n">
        <v>-16.1</v>
      </c>
      <c r="G19" t="n">
        <v>-4</v>
      </c>
      <c r="H19" t="n">
        <v>14.3</v>
      </c>
      <c r="I19" t="n">
        <v>0.02</v>
      </c>
      <c r="J19" t="n">
        <v>3.93</v>
      </c>
      <c r="K19" t="n">
        <v>0.177</v>
      </c>
      <c r="L19" t="n">
        <v>0.288</v>
      </c>
      <c r="M19" t="n">
        <v>44</v>
      </c>
      <c r="N19" t="inlineStr">
        <is>
          <t>30:00</t>
        </is>
      </c>
      <c r="O19" t="n">
        <v>30.9</v>
      </c>
      <c r="P19" t="n">
        <v>0.14</v>
      </c>
      <c r="Q19" t="n">
        <v>6.46</v>
      </c>
      <c r="R19" t="n">
        <v>0.149</v>
      </c>
      <c r="S19" t="n">
        <v>0.385</v>
      </c>
      <c r="T19" t="n">
        <v>66</v>
      </c>
      <c r="U19" t="n">
        <v>0.5</v>
      </c>
      <c r="V19" t="inlineStr">
        <is>
          <t>4/4</t>
        </is>
      </c>
      <c r="W19" t="n">
        <v>46.4</v>
      </c>
      <c r="X19" t="n">
        <v>6.8</v>
      </c>
      <c r="Y19" t="n">
        <v>12.8</v>
      </c>
      <c r="Z19" t="n">
        <v>10.5</v>
      </c>
      <c r="AA19" t="n">
        <v>17</v>
      </c>
    </row>
    <row r="20">
      <c r="A20" t="inlineStr">
        <is>
          <t>California</t>
        </is>
      </c>
      <c r="B20" t="n">
        <v>3</v>
      </c>
      <c r="C20" t="n">
        <v>751.92</v>
      </c>
      <c r="D20">
        <f>IFERROR(INDEX('Power Ratings'!$L$2:$L$139,MATCH($A20,'Power Ratings'!$B$2:$B$139,0)),"")</f>
        <v/>
      </c>
      <c r="E20" t="n">
        <v>-1.504</v>
      </c>
      <c r="F20" t="n">
        <v>0.8</v>
      </c>
      <c r="G20" t="n">
        <v>0</v>
      </c>
      <c r="H20" t="n">
        <v>27.6</v>
      </c>
      <c r="I20" t="n">
        <v>0.09</v>
      </c>
      <c r="J20" t="n">
        <v>5.89</v>
      </c>
      <c r="K20" t="n">
        <v>0.164</v>
      </c>
      <c r="L20" t="n">
        <v>0.418</v>
      </c>
      <c r="M20" t="n">
        <v>67</v>
      </c>
      <c r="N20" t="inlineStr">
        <is>
          <t>30:50</t>
        </is>
      </c>
      <c r="O20" t="n">
        <v>26.5</v>
      </c>
      <c r="P20" t="n">
        <v>0</v>
      </c>
      <c r="Q20" t="n">
        <v>5.5</v>
      </c>
      <c r="R20" t="n">
        <v>0.134</v>
      </c>
      <c r="S20" t="n">
        <v>0.371</v>
      </c>
      <c r="T20" t="n">
        <v>57</v>
      </c>
      <c r="U20" t="n">
        <v>-0.3</v>
      </c>
      <c r="V20" t="inlineStr">
        <is>
          <t>3/5</t>
        </is>
      </c>
      <c r="W20" t="n">
        <v>37.6</v>
      </c>
      <c r="X20" t="n">
        <v>1.8</v>
      </c>
      <c r="Y20" t="n">
        <v>20.3</v>
      </c>
      <c r="Z20" t="n">
        <v>14.5</v>
      </c>
      <c r="AA20" t="n">
        <v>26.9</v>
      </c>
    </row>
    <row r="21">
      <c r="A21" t="inlineStr">
        <is>
          <t>Central Michigan</t>
        </is>
      </c>
      <c r="B21" t="n">
        <v>3</v>
      </c>
      <c r="C21" t="n">
        <v>540.01</v>
      </c>
      <c r="D21">
        <f>IFERROR(INDEX('Power Ratings'!$L$2:$L$139,MATCH($A21,'Power Ratings'!$B$2:$B$139,0)),"")</f>
        <v/>
      </c>
      <c r="E21" t="n">
        <v>-16.155</v>
      </c>
      <c r="F21" t="n">
        <v>-14.9</v>
      </c>
      <c r="G21" t="n">
        <v>1</v>
      </c>
      <c r="H21" t="n">
        <v>14.9</v>
      </c>
      <c r="I21" t="n">
        <v>0.03</v>
      </c>
      <c r="J21" t="n">
        <v>4.5</v>
      </c>
      <c r="K21" t="n">
        <v>0.141</v>
      </c>
      <c r="L21" t="n">
        <v>0.379</v>
      </c>
      <c r="M21" t="n">
        <v>45</v>
      </c>
      <c r="N21" t="inlineStr">
        <is>
          <t>30:20</t>
        </is>
      </c>
      <c r="O21" t="n">
        <v>29.6</v>
      </c>
      <c r="P21" t="n">
        <v>0.08</v>
      </c>
      <c r="Q21" t="n">
        <v>4.87</v>
      </c>
      <c r="R21" t="n">
        <v>0.148</v>
      </c>
      <c r="S21" t="n">
        <v>0.434</v>
      </c>
      <c r="T21" t="n">
        <v>60</v>
      </c>
      <c r="U21" t="n">
        <v>-0.2</v>
      </c>
      <c r="V21" t="inlineStr">
        <is>
          <t>1/2</t>
        </is>
      </c>
      <c r="W21" t="n">
        <v>41.6</v>
      </c>
      <c r="X21" t="n">
        <v>8</v>
      </c>
      <c r="Y21" t="n">
        <v>24.5</v>
      </c>
      <c r="Z21" t="n">
        <v>17</v>
      </c>
      <c r="AA21" t="n">
        <v>22</v>
      </c>
    </row>
    <row r="22">
      <c r="A22" t="inlineStr">
        <is>
          <t>Charlotte</t>
        </is>
      </c>
      <c r="B22" t="n">
        <v>3</v>
      </c>
      <c r="C22" t="n">
        <v>576.77</v>
      </c>
      <c r="D22">
        <f>IFERROR(INDEX('Power Ratings'!$L$2:$L$139,MATCH($A22,'Power Ratings'!$B$2:$B$139,0)),"")</f>
        <v/>
      </c>
      <c r="E22" t="n">
        <v>-15.012</v>
      </c>
      <c r="F22" t="n">
        <v>-24.1</v>
      </c>
      <c r="G22" t="n">
        <v>-2</v>
      </c>
      <c r="H22" t="n">
        <v>15</v>
      </c>
      <c r="I22" t="n">
        <v>0.02</v>
      </c>
      <c r="J22" t="n">
        <v>5.68</v>
      </c>
      <c r="K22" t="n">
        <v>0.141</v>
      </c>
      <c r="L22" t="n">
        <v>0.384</v>
      </c>
      <c r="M22" t="n">
        <v>53</v>
      </c>
      <c r="N22" t="inlineStr">
        <is>
          <t>31:20</t>
        </is>
      </c>
      <c r="O22" t="n">
        <v>38.7</v>
      </c>
      <c r="P22" t="n">
        <v>0.25</v>
      </c>
      <c r="Q22" t="n">
        <v>6.37</v>
      </c>
      <c r="R22" t="n">
        <v>0.113</v>
      </c>
      <c r="S22" t="n">
        <v>0.502</v>
      </c>
      <c r="T22" t="n">
        <v>63</v>
      </c>
      <c r="U22" t="n">
        <v>-0.4</v>
      </c>
      <c r="V22" t="inlineStr">
        <is>
          <t>3/4</t>
        </is>
      </c>
      <c r="W22" t="n">
        <v>43.4</v>
      </c>
      <c r="X22" t="n">
        <v>3</v>
      </c>
      <c r="Y22" t="n">
        <v>18</v>
      </c>
      <c r="Z22" t="n">
        <v>12.8</v>
      </c>
      <c r="AA22" t="n">
        <v>13</v>
      </c>
    </row>
    <row r="23">
      <c r="A23" t="inlineStr">
        <is>
          <t>Cincinnati</t>
        </is>
      </c>
      <c r="B23" t="n">
        <v>3</v>
      </c>
      <c r="C23" t="n">
        <v>634.28</v>
      </c>
      <c r="D23">
        <f>IFERROR(INDEX('Power Ratings'!$L$2:$L$139,MATCH($A23,'Power Ratings'!$B$2:$B$139,0)),"")</f>
        <v/>
      </c>
      <c r="E23" t="n">
        <v>5.838</v>
      </c>
      <c r="F23" t="n">
        <v>8</v>
      </c>
      <c r="G23" t="n">
        <v>4</v>
      </c>
      <c r="H23" t="n">
        <v>32.3</v>
      </c>
      <c r="I23" t="n">
        <v>0.36</v>
      </c>
      <c r="J23" t="n">
        <v>6.8</v>
      </c>
      <c r="K23" t="n">
        <v>0.096</v>
      </c>
      <c r="L23" t="n">
        <v>0.516</v>
      </c>
      <c r="M23" t="n">
        <v>74</v>
      </c>
      <c r="N23" t="inlineStr">
        <is>
          <t>31:35</t>
        </is>
      </c>
      <c r="O23" t="n">
        <v>24.6</v>
      </c>
      <c r="P23" t="n">
        <v>0.05</v>
      </c>
      <c r="Q23" t="n">
        <v>5.59</v>
      </c>
      <c r="R23" t="n">
        <v>0.201</v>
      </c>
      <c r="S23" t="n">
        <v>0.392</v>
      </c>
      <c r="T23" t="n">
        <v>57</v>
      </c>
      <c r="U23" t="n">
        <v>0.3</v>
      </c>
      <c r="V23" t="inlineStr">
        <is>
          <t>2/3</t>
        </is>
      </c>
      <c r="W23" t="n">
        <v>46</v>
      </c>
      <c r="X23" t="n">
        <v>7.2</v>
      </c>
      <c r="Y23" t="n">
        <v>23.3</v>
      </c>
      <c r="Z23" t="n">
        <v>2</v>
      </c>
      <c r="AA23" t="n">
        <v>25.7</v>
      </c>
    </row>
    <row r="24">
      <c r="A24" t="inlineStr">
        <is>
          <t>Clemson</t>
        </is>
      </c>
      <c r="B24" t="n">
        <v>3</v>
      </c>
      <c r="C24" t="n">
        <v>862.85</v>
      </c>
      <c r="D24">
        <f>IFERROR(INDEX('Power Ratings'!$L$2:$L$139,MATCH($A24,'Power Ratings'!$B$2:$B$139,0)),"")</f>
        <v/>
      </c>
      <c r="E24" t="n">
        <v>6.106</v>
      </c>
      <c r="F24" t="n">
        <v>7.1</v>
      </c>
      <c r="G24" t="n">
        <v>-1</v>
      </c>
      <c r="H24" t="n">
        <v>26.4</v>
      </c>
      <c r="I24" t="n">
        <v>-0.06</v>
      </c>
      <c r="J24" t="n">
        <v>4.75</v>
      </c>
      <c r="K24" t="n">
        <v>0.211</v>
      </c>
      <c r="L24" t="n">
        <v>0.335</v>
      </c>
      <c r="M24" t="n">
        <v>50</v>
      </c>
      <c r="N24" t="inlineStr">
        <is>
          <t>27:20</t>
        </is>
      </c>
      <c r="O24" t="n">
        <v>19.6</v>
      </c>
      <c r="P24" t="n">
        <v>0.1</v>
      </c>
      <c r="Q24" t="n">
        <v>5.5</v>
      </c>
      <c r="R24" t="n">
        <v>0.152</v>
      </c>
      <c r="S24" t="n">
        <v>0.426</v>
      </c>
      <c r="T24" t="n">
        <v>72</v>
      </c>
      <c r="U24" t="n">
        <v>0.3</v>
      </c>
      <c r="V24" t="inlineStr">
        <is>
          <t>9/9</t>
        </is>
      </c>
      <c r="W24" t="n">
        <v>40</v>
      </c>
      <c r="X24" t="n">
        <v>7.5</v>
      </c>
      <c r="Y24" t="n">
        <v>21.5</v>
      </c>
      <c r="Z24" t="n">
        <v>4.3</v>
      </c>
      <c r="AA24" t="n">
        <v>16.5</v>
      </c>
    </row>
    <row r="25">
      <c r="A25" t="inlineStr">
        <is>
          <t>Coastal Carolina</t>
        </is>
      </c>
      <c r="B25" t="n">
        <v>3</v>
      </c>
      <c r="C25" t="n">
        <v>573.96</v>
      </c>
      <c r="D25">
        <f>IFERROR(INDEX('Power Ratings'!$L$2:$L$139,MATCH($A25,'Power Ratings'!$B$2:$B$139,0)),"")</f>
        <v/>
      </c>
      <c r="E25" t="n">
        <v>-8.279</v>
      </c>
      <c r="F25" t="n">
        <v>-10.2</v>
      </c>
      <c r="G25" t="n">
        <v>1</v>
      </c>
      <c r="H25" t="n">
        <v>23.1</v>
      </c>
      <c r="I25" t="n">
        <v>0.23</v>
      </c>
      <c r="J25" t="n">
        <v>6.55</v>
      </c>
      <c r="K25" t="n">
        <v>0.212</v>
      </c>
      <c r="L25" t="n">
        <v>0.46</v>
      </c>
      <c r="M25" t="n">
        <v>66</v>
      </c>
      <c r="N25" t="inlineStr">
        <is>
          <t>28:17</t>
        </is>
      </c>
      <c r="O25" t="n">
        <v>32.9</v>
      </c>
      <c r="P25" t="n">
        <v>0.04</v>
      </c>
      <c r="Q25" t="n">
        <v>5.33</v>
      </c>
      <c r="R25" t="n">
        <v>0.157</v>
      </c>
      <c r="S25" t="n">
        <v>0.414</v>
      </c>
      <c r="T25" t="n">
        <v>51</v>
      </c>
      <c r="U25" t="n">
        <v>-0.3</v>
      </c>
      <c r="V25" t="inlineStr">
        <is>
          <t>2/2</t>
        </is>
      </c>
      <c r="W25" t="n">
        <v>42.9</v>
      </c>
      <c r="X25" t="n">
        <v>14.8</v>
      </c>
      <c r="Y25" t="n">
        <v>18.2</v>
      </c>
      <c r="AA25" t="n">
        <v>16.3</v>
      </c>
    </row>
    <row r="26">
      <c r="A26" t="inlineStr">
        <is>
          <t>Colorado</t>
        </is>
      </c>
      <c r="B26" t="n">
        <v>3</v>
      </c>
      <c r="C26" t="n">
        <v>731.62</v>
      </c>
      <c r="D26">
        <f>IFERROR(INDEX('Power Ratings'!$L$2:$L$139,MATCH($A26,'Power Ratings'!$B$2:$B$139,0)),"")</f>
        <v/>
      </c>
      <c r="E26" t="n">
        <v>-0.678</v>
      </c>
      <c r="F26" t="n">
        <v>-1.2</v>
      </c>
      <c r="G26" t="n">
        <v>-2</v>
      </c>
      <c r="H26" t="n">
        <v>24.9</v>
      </c>
      <c r="I26" t="n">
        <v>0.14</v>
      </c>
      <c r="J26" t="n">
        <v>5.84</v>
      </c>
      <c r="K26" t="n">
        <v>0.16</v>
      </c>
      <c r="L26" t="n">
        <v>0.415</v>
      </c>
      <c r="M26" t="n">
        <v>63</v>
      </c>
      <c r="N26" t="inlineStr">
        <is>
          <t>29:07</t>
        </is>
      </c>
      <c r="O26" t="n">
        <v>25.7</v>
      </c>
      <c r="P26" t="n">
        <v>0.04</v>
      </c>
      <c r="Q26" t="n">
        <v>5.21</v>
      </c>
      <c r="R26" t="n">
        <v>0.201</v>
      </c>
      <c r="S26" t="n">
        <v>0.392</v>
      </c>
      <c r="T26" t="n">
        <v>61</v>
      </c>
      <c r="U26" t="n">
        <v>-0.4</v>
      </c>
      <c r="V26" t="inlineStr">
        <is>
          <t>1/3</t>
        </is>
      </c>
      <c r="W26" t="n">
        <v>43</v>
      </c>
      <c r="X26" t="n">
        <v>2.8</v>
      </c>
      <c r="Y26" t="n">
        <v>17.8</v>
      </c>
      <c r="Z26" t="n">
        <v>2.8</v>
      </c>
      <c r="AA26" t="n">
        <v>37.2</v>
      </c>
    </row>
    <row r="27">
      <c r="A27" t="inlineStr">
        <is>
          <t>Colorado State</t>
        </is>
      </c>
      <c r="B27" t="n">
        <v>3</v>
      </c>
      <c r="C27" t="n">
        <v>640.3099999999999</v>
      </c>
      <c r="D27">
        <f>IFERROR(INDEX('Power Ratings'!$L$2:$L$139,MATCH($A27,'Power Ratings'!$B$2:$B$139,0)),"")</f>
        <v/>
      </c>
      <c r="E27" t="n">
        <v>-6.12</v>
      </c>
      <c r="F27" t="n">
        <v>-6.6</v>
      </c>
      <c r="G27" t="n">
        <v>8</v>
      </c>
      <c r="H27" t="n">
        <v>21.7</v>
      </c>
      <c r="I27" t="n">
        <v>0.26</v>
      </c>
      <c r="J27" t="n">
        <v>6.85</v>
      </c>
      <c r="K27" t="n">
        <v>0.172</v>
      </c>
      <c r="L27" t="n">
        <v>0.451</v>
      </c>
      <c r="M27" t="n">
        <v>58</v>
      </c>
      <c r="N27" t="inlineStr">
        <is>
          <t>27:32</t>
        </is>
      </c>
      <c r="O27" t="n">
        <v>28.2</v>
      </c>
      <c r="P27" t="n">
        <v>0.06</v>
      </c>
      <c r="Q27" t="n">
        <v>7.28</v>
      </c>
      <c r="R27" t="n">
        <v>0.211</v>
      </c>
      <c r="S27" t="n">
        <v>0.456</v>
      </c>
      <c r="T27" t="n">
        <v>56</v>
      </c>
      <c r="U27" t="n">
        <v>-0.1</v>
      </c>
      <c r="V27" t="inlineStr">
        <is>
          <t>3/4</t>
        </is>
      </c>
      <c r="W27" t="n">
        <v>42.3</v>
      </c>
      <c r="X27" t="n">
        <v>14.2</v>
      </c>
      <c r="Y27" t="n">
        <v>25</v>
      </c>
      <c r="Z27" t="n">
        <v>6.4</v>
      </c>
      <c r="AA27" t="n">
        <v>23.7</v>
      </c>
    </row>
    <row r="28">
      <c r="A28" t="inlineStr">
        <is>
          <t>Delaware</t>
        </is>
      </c>
      <c r="B28" t="n">
        <v>3</v>
      </c>
      <c r="C28" t="n">
        <v>483.48</v>
      </c>
      <c r="D28">
        <f>IFERROR(INDEX('Power Ratings'!$L$2:$L$139,MATCH($A28,'Power Ratings'!$B$2:$B$139,0)),"")</f>
        <v/>
      </c>
      <c r="E28" t="n">
        <v>-3.965</v>
      </c>
      <c r="F28" t="n">
        <v>-8.1</v>
      </c>
      <c r="G28" t="n">
        <v>2</v>
      </c>
      <c r="H28" t="n">
        <v>24.5</v>
      </c>
      <c r="I28" t="n">
        <v>0.11</v>
      </c>
      <c r="J28" t="n">
        <v>6.27</v>
      </c>
      <c r="K28" t="n">
        <v>0.205</v>
      </c>
      <c r="L28" t="n">
        <v>0.42</v>
      </c>
      <c r="M28" t="n">
        <v>67</v>
      </c>
      <c r="N28" t="inlineStr">
        <is>
          <t>30:15</t>
        </is>
      </c>
      <c r="O28" t="n">
        <v>32.3</v>
      </c>
      <c r="P28" t="n">
        <v>-0.02</v>
      </c>
      <c r="Q28" t="n">
        <v>4.84</v>
      </c>
      <c r="R28" t="n">
        <v>0.208</v>
      </c>
      <c r="S28" t="n">
        <v>0.362</v>
      </c>
      <c r="T28" t="n">
        <v>51</v>
      </c>
      <c r="U28" t="n">
        <v>-0.3</v>
      </c>
      <c r="V28" t="inlineStr">
        <is>
          <t>2/4</t>
        </is>
      </c>
      <c r="W28" t="n">
        <v>41.5</v>
      </c>
      <c r="X28" t="n">
        <v>6</v>
      </c>
      <c r="Y28" t="n">
        <v>19</v>
      </c>
      <c r="Z28" t="n">
        <v>13.5</v>
      </c>
      <c r="AA28" t="n">
        <v>20.7</v>
      </c>
    </row>
    <row r="29">
      <c r="A29" t="inlineStr">
        <is>
          <t>Duke</t>
        </is>
      </c>
      <c r="B29" t="n">
        <v>3</v>
      </c>
      <c r="C29" t="n">
        <v>668.47</v>
      </c>
      <c r="D29">
        <f>IFERROR(INDEX('Power Ratings'!$L$2:$L$139,MATCH($A29,'Power Ratings'!$B$2:$B$139,0)),"")</f>
        <v/>
      </c>
      <c r="E29" t="n">
        <v>9.144</v>
      </c>
      <c r="F29" t="n">
        <v>7</v>
      </c>
      <c r="G29" t="n">
        <v>1</v>
      </c>
      <c r="H29" t="n">
        <v>31.9</v>
      </c>
      <c r="I29" t="n">
        <v>0.2</v>
      </c>
      <c r="J29" t="n">
        <v>5.99</v>
      </c>
      <c r="K29" t="n">
        <v>0.097</v>
      </c>
      <c r="L29" t="n">
        <v>0.406</v>
      </c>
      <c r="M29" t="n">
        <v>61</v>
      </c>
      <c r="N29" t="inlineStr">
        <is>
          <t>33:32</t>
        </is>
      </c>
      <c r="O29" t="n">
        <v>25.2</v>
      </c>
      <c r="P29" t="n">
        <v>-0.06</v>
      </c>
      <c r="Q29" t="n">
        <v>4.82</v>
      </c>
      <c r="R29" t="n">
        <v>0.162</v>
      </c>
      <c r="S29" t="n">
        <v>0.389</v>
      </c>
      <c r="T29" t="n">
        <v>48</v>
      </c>
      <c r="U29" t="n">
        <v>0.3</v>
      </c>
      <c r="V29" t="inlineStr">
        <is>
          <t>2/3</t>
        </is>
      </c>
      <c r="W29" t="n">
        <v>47.1</v>
      </c>
      <c r="X29" t="n">
        <v>2</v>
      </c>
      <c r="Y29" t="n">
        <v>18</v>
      </c>
      <c r="Z29" t="n">
        <v>10.8</v>
      </c>
      <c r="AA29" t="n">
        <v>20.2</v>
      </c>
    </row>
    <row r="30">
      <c r="A30" t="inlineStr">
        <is>
          <t>East Carolina</t>
        </is>
      </c>
      <c r="B30" t="n">
        <v>3</v>
      </c>
      <c r="C30" t="n">
        <v>623.79</v>
      </c>
      <c r="D30">
        <f>IFERROR(INDEX('Power Ratings'!$L$2:$L$139,MATCH($A30,'Power Ratings'!$B$2:$B$139,0)),"")</f>
        <v/>
      </c>
      <c r="E30" t="n">
        <v>-4.565</v>
      </c>
      <c r="F30" t="n">
        <v>-5.6</v>
      </c>
      <c r="G30" t="n">
        <v>-1</v>
      </c>
      <c r="H30" t="n">
        <v>22.1</v>
      </c>
      <c r="I30" t="n">
        <v>-0.03</v>
      </c>
      <c r="J30" t="n">
        <v>4.72</v>
      </c>
      <c r="K30" t="n">
        <v>0.171</v>
      </c>
      <c r="L30" t="n">
        <v>0.354</v>
      </c>
      <c r="M30" t="n">
        <v>44</v>
      </c>
      <c r="N30" t="inlineStr">
        <is>
          <t>25:13</t>
        </is>
      </c>
      <c r="O30" t="n">
        <v>27.5</v>
      </c>
      <c r="P30" t="n">
        <v>0.07000000000000001</v>
      </c>
      <c r="Q30" t="n">
        <v>5.33</v>
      </c>
      <c r="R30" t="n">
        <v>0.147</v>
      </c>
      <c r="S30" t="n">
        <v>0.396</v>
      </c>
      <c r="T30" t="n">
        <v>63</v>
      </c>
      <c r="U30" t="n">
        <v>-0.1</v>
      </c>
      <c r="V30" t="inlineStr">
        <is>
          <t>4/5</t>
        </is>
      </c>
      <c r="W30" t="n">
        <v>47.1</v>
      </c>
      <c r="X30" t="n">
        <v>3</v>
      </c>
      <c r="Z30" t="n">
        <v>8.6</v>
      </c>
      <c r="AA30" t="n">
        <v>16.9</v>
      </c>
    </row>
    <row r="31">
      <c r="A31" t="inlineStr">
        <is>
          <t>Eastern Michigan</t>
        </is>
      </c>
      <c r="B31" t="n">
        <v>4</v>
      </c>
      <c r="C31" t="n">
        <v>580.64</v>
      </c>
      <c r="D31">
        <f>IFERROR(INDEX('Power Ratings'!$L$2:$L$139,MATCH($A31,'Power Ratings'!$B$2:$B$139,0)),"")</f>
        <v/>
      </c>
      <c r="E31" t="n">
        <v>-19.315</v>
      </c>
      <c r="F31" t="n">
        <v>-18.9</v>
      </c>
      <c r="G31" t="n">
        <v>0</v>
      </c>
      <c r="H31" t="n">
        <v>15.8</v>
      </c>
      <c r="I31" t="n">
        <v>-0.1</v>
      </c>
      <c r="J31" t="n">
        <v>4.29</v>
      </c>
      <c r="K31" t="n">
        <v>0.191</v>
      </c>
      <c r="L31" t="n">
        <v>0.352</v>
      </c>
      <c r="M31" t="n">
        <v>62</v>
      </c>
      <c r="N31" t="inlineStr">
        <is>
          <t>30:00</t>
        </is>
      </c>
      <c r="O31" t="n">
        <v>34.5</v>
      </c>
      <c r="P31" t="n">
        <v>0.16</v>
      </c>
      <c r="Q31" t="n">
        <v>6.1</v>
      </c>
      <c r="R31" t="n">
        <v>0.173</v>
      </c>
      <c r="S31" t="n">
        <v>0.442</v>
      </c>
      <c r="T31" t="n">
        <v>79</v>
      </c>
      <c r="U31" t="n">
        <v>-0.2</v>
      </c>
      <c r="V31" t="inlineStr">
        <is>
          <t>1/3</t>
        </is>
      </c>
      <c r="W31" t="n">
        <v>42.5</v>
      </c>
      <c r="X31" t="n">
        <v>8</v>
      </c>
      <c r="Y31" t="n">
        <v>20.3</v>
      </c>
      <c r="Z31" t="n">
        <v>8.199999999999999</v>
      </c>
      <c r="AA31" t="n">
        <v>15</v>
      </c>
    </row>
    <row r="32">
      <c r="A32" t="inlineStr">
        <is>
          <t>Florida</t>
        </is>
      </c>
      <c r="B32" t="n">
        <v>3</v>
      </c>
      <c r="C32" t="n">
        <v>891.0700000000001</v>
      </c>
      <c r="D32">
        <f>IFERROR(INDEX('Power Ratings'!$L$2:$L$139,MATCH($A32,'Power Ratings'!$B$2:$B$139,0)),"")</f>
        <v/>
      </c>
      <c r="E32" t="n">
        <v>16.369</v>
      </c>
      <c r="F32" t="n">
        <v>17.8</v>
      </c>
      <c r="G32" t="n">
        <v>2</v>
      </c>
      <c r="H32" t="n">
        <v>34.2</v>
      </c>
      <c r="I32" t="n">
        <v>0.43</v>
      </c>
      <c r="J32" t="n">
        <v>7.97</v>
      </c>
      <c r="K32" t="n">
        <v>0.111</v>
      </c>
      <c r="L32" t="n">
        <v>0.486</v>
      </c>
      <c r="M32" t="n">
        <v>78</v>
      </c>
      <c r="N32" t="inlineStr">
        <is>
          <t>33:06</t>
        </is>
      </c>
      <c r="O32" t="n">
        <v>16.9</v>
      </c>
      <c r="P32" t="n">
        <v>-0.08</v>
      </c>
      <c r="Q32" t="n">
        <v>4.47</v>
      </c>
      <c r="R32" t="n">
        <v>0.217</v>
      </c>
      <c r="S32" t="n">
        <v>0.363</v>
      </c>
      <c r="T32" t="n">
        <v>58</v>
      </c>
      <c r="U32" t="n">
        <v>0.5</v>
      </c>
      <c r="V32" t="inlineStr">
        <is>
          <t>5/5</t>
        </is>
      </c>
      <c r="W32" t="n">
        <v>44</v>
      </c>
      <c r="X32" t="n">
        <v>31.5</v>
      </c>
      <c r="Y32" t="n">
        <v>15</v>
      </c>
      <c r="AA32" t="n">
        <v>21.7</v>
      </c>
    </row>
    <row r="33">
      <c r="A33" t="inlineStr">
        <is>
          <t>Florida Atlantic</t>
        </is>
      </c>
      <c r="B33" t="n">
        <v>3</v>
      </c>
      <c r="C33" t="n">
        <v>593.36</v>
      </c>
      <c r="D33">
        <f>IFERROR(INDEX('Power Ratings'!$L$2:$L$139,MATCH($A33,'Power Ratings'!$B$2:$B$139,0)),"")</f>
        <v/>
      </c>
      <c r="E33" t="n">
        <v>-10.355</v>
      </c>
      <c r="F33" t="n">
        <v>-7.4</v>
      </c>
      <c r="G33" t="n">
        <v>3</v>
      </c>
      <c r="H33" t="n">
        <v>26.4</v>
      </c>
      <c r="I33" t="n">
        <v>0.08</v>
      </c>
      <c r="J33" t="n">
        <v>4.62</v>
      </c>
      <c r="K33" t="n">
        <v>0.167</v>
      </c>
      <c r="L33" t="n">
        <v>0.414</v>
      </c>
      <c r="M33" t="n">
        <v>69</v>
      </c>
      <c r="N33" t="inlineStr">
        <is>
          <t>29:29</t>
        </is>
      </c>
      <c r="O33" t="n">
        <v>34.2</v>
      </c>
      <c r="P33" t="n">
        <v>0.22</v>
      </c>
      <c r="Q33" t="n">
        <v>6.74</v>
      </c>
      <c r="R33" t="n">
        <v>0.163</v>
      </c>
      <c r="S33" t="n">
        <v>0.429</v>
      </c>
      <c r="T33" t="n">
        <v>69</v>
      </c>
      <c r="U33" t="n">
        <v>0.4</v>
      </c>
      <c r="V33" t="inlineStr">
        <is>
          <t>4/6</t>
        </is>
      </c>
      <c r="W33" t="n">
        <v>41.4</v>
      </c>
      <c r="X33" t="n">
        <v>10</v>
      </c>
      <c r="Y33" t="n">
        <v>18.5</v>
      </c>
      <c r="Z33" t="n">
        <v>4.5</v>
      </c>
      <c r="AA33" t="n">
        <v>16.5</v>
      </c>
    </row>
    <row r="34">
      <c r="A34" t="inlineStr">
        <is>
          <t>Florida International</t>
        </is>
      </c>
      <c r="B34" t="n">
        <v>3</v>
      </c>
      <c r="C34" t="n">
        <v>607.5599999999999</v>
      </c>
      <c r="D34">
        <f>IFERROR(INDEX('Power Ratings'!$L$2:$L$139,MATCH($A34,'Power Ratings'!$B$2:$B$139,0)),"")</f>
        <v/>
      </c>
      <c r="E34" t="n">
        <v>-10.822</v>
      </c>
      <c r="F34" t="n">
        <v>-12.3</v>
      </c>
      <c r="G34" t="n">
        <v>-4</v>
      </c>
      <c r="H34" t="n">
        <v>19.5</v>
      </c>
      <c r="I34" t="n">
        <v>-0.01</v>
      </c>
      <c r="J34" t="n">
        <v>5.58</v>
      </c>
      <c r="K34" t="n">
        <v>0.158</v>
      </c>
      <c r="L34" t="n">
        <v>0.38</v>
      </c>
      <c r="M34" t="n">
        <v>62</v>
      </c>
      <c r="N34" t="inlineStr">
        <is>
          <t>34:00</t>
        </is>
      </c>
      <c r="O34" t="n">
        <v>31.6</v>
      </c>
      <c r="P34" t="n">
        <v>-0.01</v>
      </c>
      <c r="Q34" t="n">
        <v>4.1</v>
      </c>
      <c r="R34" t="n">
        <v>0.164</v>
      </c>
      <c r="S34" t="n">
        <v>0.349</v>
      </c>
      <c r="T34" t="n">
        <v>44</v>
      </c>
      <c r="U34" t="n">
        <v>-0.2</v>
      </c>
      <c r="V34" t="inlineStr">
        <is>
          <t>4/5</t>
        </is>
      </c>
      <c r="W34" t="n">
        <v>43</v>
      </c>
      <c r="X34" t="n">
        <v>5.8</v>
      </c>
      <c r="Y34" t="n">
        <v>10</v>
      </c>
      <c r="Z34" t="n">
        <v>2.7</v>
      </c>
      <c r="AA34" t="n">
        <v>15.2</v>
      </c>
    </row>
    <row r="35">
      <c r="A35" t="inlineStr">
        <is>
          <t>Florida State</t>
        </is>
      </c>
      <c r="B35" t="n">
        <v>3</v>
      </c>
      <c r="C35" t="n">
        <v>800.2</v>
      </c>
      <c r="D35">
        <f>IFERROR(INDEX('Power Ratings'!$L$2:$L$139,MATCH($A35,'Power Ratings'!$B$2:$B$139,0)),"")</f>
        <v/>
      </c>
      <c r="E35" t="n">
        <v>7.796</v>
      </c>
      <c r="F35" t="n">
        <v>5.5</v>
      </c>
      <c r="G35" t="n">
        <v>0</v>
      </c>
      <c r="H35" t="n">
        <v>30.2</v>
      </c>
      <c r="I35" t="n">
        <v>0.19</v>
      </c>
      <c r="J35" t="n">
        <v>6.13</v>
      </c>
      <c r="K35" t="n">
        <v>0.17</v>
      </c>
      <c r="L35" t="n">
        <v>0.41</v>
      </c>
      <c r="M35" t="n">
        <v>53</v>
      </c>
      <c r="N35" t="inlineStr">
        <is>
          <t>30:33</t>
        </is>
      </c>
      <c r="O35" t="n">
        <v>24.5</v>
      </c>
      <c r="P35" t="n">
        <v>0.31</v>
      </c>
      <c r="Q35" t="n">
        <v>7.39</v>
      </c>
      <c r="R35" t="n">
        <v>0.149</v>
      </c>
      <c r="S35" t="n">
        <v>0.463</v>
      </c>
      <c r="T35" t="n">
        <v>67</v>
      </c>
      <c r="U35" t="n">
        <v>-0.2</v>
      </c>
      <c r="V35" t="inlineStr">
        <is>
          <t>3/3</t>
        </is>
      </c>
      <c r="W35" t="n">
        <v>44</v>
      </c>
      <c r="X35" t="n">
        <v>5.5</v>
      </c>
      <c r="Y35" t="n">
        <v>20.2</v>
      </c>
      <c r="Z35" t="n">
        <v>2.5</v>
      </c>
      <c r="AA35" t="n">
        <v>20.3</v>
      </c>
    </row>
    <row r="36">
      <c r="A36" t="inlineStr">
        <is>
          <t>Fresno State</t>
        </is>
      </c>
      <c r="B36" t="n">
        <v>3</v>
      </c>
      <c r="C36" t="n">
        <v>609.75</v>
      </c>
      <c r="D36">
        <f>IFERROR(INDEX('Power Ratings'!$L$2:$L$139,MATCH($A36,'Power Ratings'!$B$2:$B$139,0)),"")</f>
        <v/>
      </c>
      <c r="E36" t="n">
        <v>-0.545</v>
      </c>
      <c r="F36" t="n">
        <v>-0.4</v>
      </c>
      <c r="G36" t="n">
        <v>5</v>
      </c>
      <c r="H36" t="n">
        <v>21.5</v>
      </c>
      <c r="I36" t="n">
        <v>0.07000000000000001</v>
      </c>
      <c r="J36" t="n">
        <v>5.78</v>
      </c>
      <c r="K36" t="n">
        <v>0.134</v>
      </c>
      <c r="L36" t="n">
        <v>0.346</v>
      </c>
      <c r="M36" t="n">
        <v>51</v>
      </c>
      <c r="N36" t="inlineStr">
        <is>
          <t>28:44</t>
        </is>
      </c>
      <c r="O36" t="n">
        <v>22</v>
      </c>
      <c r="P36" t="n">
        <v>-0.04</v>
      </c>
      <c r="Q36" t="n">
        <v>5.66</v>
      </c>
      <c r="R36" t="n">
        <v>0.146</v>
      </c>
      <c r="S36" t="n">
        <v>0.422</v>
      </c>
      <c r="T36" t="n">
        <v>56</v>
      </c>
      <c r="U36" t="n">
        <v>0</v>
      </c>
      <c r="V36" t="inlineStr">
        <is>
          <t>6/7</t>
        </is>
      </c>
      <c r="W36" t="n">
        <v>40.2</v>
      </c>
      <c r="X36" t="n">
        <v>20.2</v>
      </c>
      <c r="Y36" t="n">
        <v>14</v>
      </c>
      <c r="Z36" t="n">
        <v>5.2</v>
      </c>
      <c r="AA36" t="n">
        <v>12.2</v>
      </c>
    </row>
    <row r="37">
      <c r="A37" t="inlineStr">
        <is>
          <t>Georgia</t>
        </is>
      </c>
      <c r="B37" t="n">
        <v>3</v>
      </c>
      <c r="C37" t="n">
        <v>1003.67</v>
      </c>
      <c r="D37">
        <f>IFERROR(INDEX('Power Ratings'!$L$2:$L$139,MATCH($A37,'Power Ratings'!$B$2:$B$139,0)),"")</f>
        <v/>
      </c>
      <c r="E37" t="n">
        <v>27.069</v>
      </c>
      <c r="F37" t="n">
        <v>28.2</v>
      </c>
      <c r="G37" t="n">
        <v>3</v>
      </c>
      <c r="H37" t="n">
        <v>40.7</v>
      </c>
      <c r="I37" t="n">
        <v>0.55</v>
      </c>
      <c r="J37" t="n">
        <v>8.84</v>
      </c>
      <c r="K37" t="n">
        <v>0.111</v>
      </c>
      <c r="L37" t="n">
        <v>0.577</v>
      </c>
      <c r="M37" t="n">
        <v>72</v>
      </c>
      <c r="N37" t="inlineStr">
        <is>
          <t>31:00</t>
        </is>
      </c>
      <c r="O37" t="n">
        <v>13</v>
      </c>
      <c r="P37" t="n">
        <v>-0.09</v>
      </c>
      <c r="Q37" t="n">
        <v>3.27</v>
      </c>
      <c r="R37" t="n">
        <v>0.199</v>
      </c>
      <c r="S37" t="n">
        <v>0.332</v>
      </c>
      <c r="T37" t="n">
        <v>45</v>
      </c>
      <c r="U37" t="n">
        <v>0.5</v>
      </c>
      <c r="V37" t="inlineStr">
        <is>
          <t>1/1</t>
        </is>
      </c>
      <c r="W37" t="n">
        <v>48</v>
      </c>
      <c r="X37" t="n">
        <v>11.9</v>
      </c>
      <c r="Y37" t="n">
        <v>29.2</v>
      </c>
      <c r="Z37" t="n">
        <v>10</v>
      </c>
      <c r="AA37" t="n">
        <v>21.5</v>
      </c>
    </row>
    <row r="38">
      <c r="A38" t="inlineStr">
        <is>
          <t>Georgia Southern</t>
        </is>
      </c>
      <c r="B38" t="n">
        <v>3</v>
      </c>
      <c r="C38" t="n">
        <v>634.1900000000001</v>
      </c>
      <c r="D38">
        <f>IFERROR(INDEX('Power Ratings'!$L$2:$L$139,MATCH($A38,'Power Ratings'!$B$2:$B$139,0)),"")</f>
        <v/>
      </c>
      <c r="E38" t="n">
        <v>-7.763</v>
      </c>
      <c r="F38" t="n">
        <v>-7.7</v>
      </c>
      <c r="G38" t="n">
        <v>2</v>
      </c>
      <c r="H38" t="n">
        <v>22.7</v>
      </c>
      <c r="I38" t="n">
        <v>0.05</v>
      </c>
      <c r="J38" t="n">
        <v>5.34</v>
      </c>
      <c r="K38" t="n">
        <v>0.174</v>
      </c>
      <c r="L38" t="n">
        <v>0.399</v>
      </c>
      <c r="M38" t="n">
        <v>62</v>
      </c>
      <c r="N38" t="inlineStr">
        <is>
          <t>33:32</t>
        </is>
      </c>
      <c r="O38" t="n">
        <v>30.4</v>
      </c>
      <c r="P38" t="n">
        <v>-0.05</v>
      </c>
      <c r="Q38" t="n">
        <v>4.19</v>
      </c>
      <c r="R38" t="n">
        <v>0.236</v>
      </c>
      <c r="S38" t="n">
        <v>0.298</v>
      </c>
      <c r="T38" t="n">
        <v>49</v>
      </c>
      <c r="U38" t="n">
        <v>0</v>
      </c>
      <c r="V38" t="inlineStr">
        <is>
          <t>3/5</t>
        </is>
      </c>
      <c r="W38" t="n">
        <v>42.9</v>
      </c>
      <c r="X38" t="n">
        <v>4.3</v>
      </c>
      <c r="Y38" t="n">
        <v>20</v>
      </c>
      <c r="Z38" t="n">
        <v>20.7</v>
      </c>
      <c r="AA38" t="n">
        <v>17</v>
      </c>
    </row>
    <row r="39">
      <c r="A39" t="inlineStr">
        <is>
          <t>Georgia State</t>
        </is>
      </c>
      <c r="B39" t="n">
        <v>3</v>
      </c>
      <c r="C39" t="n">
        <v>573.83</v>
      </c>
      <c r="D39">
        <f>IFERROR(INDEX('Power Ratings'!$L$2:$L$139,MATCH($A39,'Power Ratings'!$B$2:$B$139,0)),"")</f>
        <v/>
      </c>
      <c r="E39" t="n">
        <v>-8.754</v>
      </c>
      <c r="F39" t="n">
        <v>-19.6</v>
      </c>
      <c r="G39" t="n">
        <v>-3</v>
      </c>
      <c r="H39" t="n">
        <v>20.2</v>
      </c>
      <c r="I39" t="n">
        <v>0.26</v>
      </c>
      <c r="J39" t="n">
        <v>6.8</v>
      </c>
      <c r="K39" t="n">
        <v>0.096</v>
      </c>
      <c r="L39" t="n">
        <v>0.491</v>
      </c>
      <c r="M39" t="n">
        <v>76</v>
      </c>
      <c r="N39" t="inlineStr">
        <is>
          <t>34:38</t>
        </is>
      </c>
      <c r="O39" t="n">
        <v>39.2</v>
      </c>
      <c r="P39" t="n">
        <v>0.06</v>
      </c>
      <c r="Q39" t="n">
        <v>5.61</v>
      </c>
      <c r="R39" t="n">
        <v>0.154</v>
      </c>
      <c r="S39" t="n">
        <v>0.373</v>
      </c>
      <c r="T39" t="n">
        <v>44</v>
      </c>
      <c r="U39" t="n">
        <v>-0.5</v>
      </c>
      <c r="V39" t="inlineStr">
        <is>
          <t>7/7</t>
        </is>
      </c>
      <c r="W39" t="n">
        <v>39</v>
      </c>
      <c r="X39" t="n">
        <v>13.2</v>
      </c>
      <c r="Y39" t="n">
        <v>24.5</v>
      </c>
      <c r="Z39" t="n">
        <v>33.5</v>
      </c>
      <c r="AA39" t="n">
        <v>22.4</v>
      </c>
    </row>
    <row r="40">
      <c r="A40" t="inlineStr">
        <is>
          <t>Georgia Tech</t>
        </is>
      </c>
      <c r="B40" t="n">
        <v>3</v>
      </c>
      <c r="C40" t="n">
        <v>751.65</v>
      </c>
      <c r="D40">
        <f>IFERROR(INDEX('Power Ratings'!$L$2:$L$139,MATCH($A40,'Power Ratings'!$B$2:$B$139,0)),"")</f>
        <v/>
      </c>
      <c r="E40" t="n">
        <v>2.135</v>
      </c>
      <c r="F40" t="n">
        <v>4.4</v>
      </c>
      <c r="G40" t="n">
        <v>-1</v>
      </c>
      <c r="H40" t="n">
        <v>27.9</v>
      </c>
      <c r="I40" t="n">
        <v>0.11</v>
      </c>
      <c r="J40" t="n">
        <v>5.61</v>
      </c>
      <c r="K40" t="n">
        <v>0.159</v>
      </c>
      <c r="L40" t="n">
        <v>0.439</v>
      </c>
      <c r="M40" t="n">
        <v>62</v>
      </c>
      <c r="N40" t="inlineStr">
        <is>
          <t>28:07</t>
        </is>
      </c>
      <c r="O40" t="n">
        <v>24</v>
      </c>
      <c r="P40" t="n">
        <v>0.11</v>
      </c>
      <c r="Q40" t="n">
        <v>5.17</v>
      </c>
      <c r="R40" t="n">
        <v>0.173</v>
      </c>
      <c r="S40" t="n">
        <v>0.409</v>
      </c>
      <c r="T40" t="n">
        <v>60</v>
      </c>
      <c r="U40" t="n">
        <v>0.4</v>
      </c>
      <c r="V40" t="inlineStr">
        <is>
          <t>4/6</t>
        </is>
      </c>
      <c r="W40" t="n">
        <v>44.1</v>
      </c>
      <c r="X40" t="n">
        <v>8.699999999999999</v>
      </c>
      <c r="Y40" t="n">
        <v>49.6</v>
      </c>
      <c r="Z40" t="n">
        <v>2</v>
      </c>
      <c r="AA40" t="n">
        <v>12</v>
      </c>
    </row>
    <row r="41">
      <c r="A41" t="inlineStr">
        <is>
          <t>Hawaii</t>
        </is>
      </c>
      <c r="B41" t="n">
        <v>3</v>
      </c>
      <c r="C41" t="n">
        <v>556.8200000000001</v>
      </c>
      <c r="D41">
        <f>IFERROR(INDEX('Power Ratings'!$L$2:$L$139,MATCH($A41,'Power Ratings'!$B$2:$B$139,0)),"")</f>
        <v/>
      </c>
      <c r="E41" t="n">
        <v>-8.516</v>
      </c>
      <c r="F41" t="n">
        <v>-7.1</v>
      </c>
      <c r="G41" t="n">
        <v>0</v>
      </c>
      <c r="H41" t="n">
        <v>23.1</v>
      </c>
      <c r="I41" t="n">
        <v>0.03</v>
      </c>
      <c r="J41" t="n">
        <v>4.67</v>
      </c>
      <c r="K41" t="n">
        <v>0.17</v>
      </c>
      <c r="L41" t="n">
        <v>0.374</v>
      </c>
      <c r="M41" t="n">
        <v>60</v>
      </c>
      <c r="N41" t="inlineStr">
        <is>
          <t>31:08</t>
        </is>
      </c>
      <c r="O41" t="n">
        <v>30.7</v>
      </c>
      <c r="P41" t="n">
        <v>0.13</v>
      </c>
      <c r="Q41" t="n">
        <v>6.2</v>
      </c>
      <c r="R41" t="n">
        <v>0.146</v>
      </c>
      <c r="S41" t="n">
        <v>0.434</v>
      </c>
      <c r="T41" t="n">
        <v>62</v>
      </c>
      <c r="U41" t="n">
        <v>0.5</v>
      </c>
      <c r="V41" t="inlineStr">
        <is>
          <t>5/6</t>
        </is>
      </c>
      <c r="W41" t="n">
        <v>43.6</v>
      </c>
      <c r="X41" t="n">
        <v>4.2</v>
      </c>
      <c r="Y41" t="n">
        <v>31.7</v>
      </c>
      <c r="Z41" t="n">
        <v>1.3</v>
      </c>
      <c r="AA41" t="n">
        <v>18.9</v>
      </c>
    </row>
    <row r="42">
      <c r="A42" t="inlineStr">
        <is>
          <t>Houston</t>
        </is>
      </c>
      <c r="B42" t="n">
        <v>3</v>
      </c>
      <c r="C42" t="n">
        <v>695.9299999999999</v>
      </c>
      <c r="D42">
        <f>IFERROR(INDEX('Power Ratings'!$L$2:$L$139,MATCH($A42,'Power Ratings'!$B$2:$B$139,0)),"")</f>
        <v/>
      </c>
      <c r="E42" t="n">
        <v>10.803</v>
      </c>
      <c r="F42" t="n">
        <v>10.8</v>
      </c>
      <c r="G42" t="n">
        <v>2</v>
      </c>
      <c r="H42" t="n">
        <v>33.3</v>
      </c>
      <c r="I42" t="n">
        <v>0.43</v>
      </c>
      <c r="J42" t="n">
        <v>7.5</v>
      </c>
      <c r="K42" t="n">
        <v>0.116</v>
      </c>
      <c r="L42" t="n">
        <v>0.574</v>
      </c>
      <c r="M42" t="n">
        <v>85</v>
      </c>
      <c r="N42" t="inlineStr">
        <is>
          <t>34:17</t>
        </is>
      </c>
      <c r="O42" t="n">
        <v>22.3</v>
      </c>
      <c r="P42" t="n">
        <v>0.04</v>
      </c>
      <c r="Q42" t="n">
        <v>5.42</v>
      </c>
      <c r="R42" t="n">
        <v>0.218</v>
      </c>
      <c r="S42" t="n">
        <v>0.363</v>
      </c>
      <c r="T42" t="n">
        <v>46</v>
      </c>
      <c r="U42" t="n">
        <v>-0.3</v>
      </c>
      <c r="V42" t="inlineStr">
        <is>
          <t>4/4</t>
        </is>
      </c>
      <c r="W42" t="n">
        <v>43.9</v>
      </c>
      <c r="X42" t="n">
        <v>10</v>
      </c>
      <c r="Y42" t="n">
        <v>20</v>
      </c>
      <c r="Z42" t="n">
        <v>7.5</v>
      </c>
      <c r="AA42" t="n">
        <v>16</v>
      </c>
    </row>
    <row r="43">
      <c r="A43" t="inlineStr">
        <is>
          <t>Illinois</t>
        </is>
      </c>
      <c r="B43" t="n">
        <v>3</v>
      </c>
      <c r="C43" t="n">
        <v>704.01</v>
      </c>
      <c r="D43">
        <f>IFERROR(INDEX('Power Ratings'!$L$2:$L$139,MATCH($A43,'Power Ratings'!$B$2:$B$139,0)),"")</f>
        <v/>
      </c>
      <c r="E43" t="n">
        <v>5.956</v>
      </c>
      <c r="F43" t="n">
        <v>11.1</v>
      </c>
      <c r="G43" t="n">
        <v>0</v>
      </c>
      <c r="H43" t="n">
        <v>33.7</v>
      </c>
      <c r="I43" t="n">
        <v>0.29</v>
      </c>
      <c r="J43" t="n">
        <v>7.24</v>
      </c>
      <c r="K43" t="n">
        <v>0.064</v>
      </c>
      <c r="L43" t="n">
        <v>0.543</v>
      </c>
      <c r="M43" t="n">
        <v>61</v>
      </c>
      <c r="N43" t="inlineStr">
        <is>
          <t>26:02</t>
        </is>
      </c>
      <c r="O43" t="n">
        <v>23</v>
      </c>
      <c r="P43" t="n">
        <v>0.08</v>
      </c>
      <c r="Q43" t="n">
        <v>5.1</v>
      </c>
      <c r="R43" t="n">
        <v>0.146</v>
      </c>
      <c r="S43" t="n">
        <v>0.4</v>
      </c>
      <c r="T43" t="n">
        <v>61</v>
      </c>
      <c r="U43" t="n">
        <v>0.4</v>
      </c>
      <c r="V43" t="inlineStr">
        <is>
          <t>4/5</t>
        </is>
      </c>
      <c r="W43" t="n">
        <v>43</v>
      </c>
      <c r="X43" t="n">
        <v>39.5</v>
      </c>
      <c r="Y43" t="n">
        <v>22</v>
      </c>
      <c r="Z43" t="n">
        <v>9.5</v>
      </c>
      <c r="AA43" t="n">
        <v>18</v>
      </c>
    </row>
    <row r="44">
      <c r="A44" t="inlineStr">
        <is>
          <t>Indiana</t>
        </is>
      </c>
      <c r="B44" t="n">
        <v>3</v>
      </c>
      <c r="C44" t="n">
        <v>735.26</v>
      </c>
      <c r="D44">
        <f>IFERROR(INDEX('Power Ratings'!$L$2:$L$139,MATCH($A44,'Power Ratings'!$B$2:$B$139,0)),"")</f>
        <v/>
      </c>
      <c r="E44" t="n">
        <v>24.632</v>
      </c>
      <c r="F44" t="n">
        <v>25.8</v>
      </c>
      <c r="G44" t="n">
        <v>2</v>
      </c>
      <c r="H44" t="n">
        <v>38.4</v>
      </c>
      <c r="I44" t="n">
        <v>0.48</v>
      </c>
      <c r="J44" t="n">
        <v>7.95</v>
      </c>
      <c r="K44" t="n">
        <v>0.108</v>
      </c>
      <c r="L44" t="n">
        <v>0.517</v>
      </c>
      <c r="M44" t="n">
        <v>66</v>
      </c>
      <c r="N44" t="inlineStr">
        <is>
          <t>30:22</t>
        </is>
      </c>
      <c r="O44" t="n">
        <v>13</v>
      </c>
      <c r="P44" t="n">
        <v>-0.22</v>
      </c>
      <c r="Q44" t="n">
        <v>3.49</v>
      </c>
      <c r="R44" t="n">
        <v>0.207</v>
      </c>
      <c r="S44" t="n">
        <v>0.268</v>
      </c>
      <c r="T44" t="n">
        <v>33</v>
      </c>
      <c r="U44" t="n">
        <v>0.4</v>
      </c>
      <c r="V44" t="inlineStr">
        <is>
          <t>2/3</t>
        </is>
      </c>
      <c r="W44" t="n">
        <v>38.8</v>
      </c>
      <c r="X44" t="n">
        <v>12</v>
      </c>
      <c r="Y44" t="n">
        <v>26.1</v>
      </c>
      <c r="Z44" t="n">
        <v>11</v>
      </c>
      <c r="AA44" t="n">
        <v>19.2</v>
      </c>
    </row>
    <row r="45">
      <c r="A45" t="inlineStr">
        <is>
          <t>Iowa</t>
        </is>
      </c>
      <c r="B45" t="n">
        <v>3</v>
      </c>
      <c r="C45" t="n">
        <v>722.73</v>
      </c>
      <c r="D45">
        <f>IFERROR(INDEX('Power Ratings'!$L$2:$L$139,MATCH($A45,'Power Ratings'!$B$2:$B$139,0)),"")</f>
        <v/>
      </c>
      <c r="E45" t="n">
        <v>12.105</v>
      </c>
      <c r="F45" t="n">
        <v>17.3</v>
      </c>
      <c r="G45" t="n">
        <v>3</v>
      </c>
      <c r="H45" t="n">
        <v>31.4</v>
      </c>
      <c r="I45" t="n">
        <v>0.21</v>
      </c>
      <c r="J45" t="n">
        <v>7.12</v>
      </c>
      <c r="K45" t="n">
        <v>0.089</v>
      </c>
      <c r="L45" t="n">
        <v>0.473</v>
      </c>
      <c r="M45" t="n">
        <v>71</v>
      </c>
      <c r="N45" t="inlineStr">
        <is>
          <t>31:56</t>
        </is>
      </c>
      <c r="O45" t="n">
        <v>14.6</v>
      </c>
      <c r="P45" t="n">
        <v>-0.25</v>
      </c>
      <c r="Q45" t="n">
        <v>3.19</v>
      </c>
      <c r="R45" t="n">
        <v>0.207</v>
      </c>
      <c r="S45" t="n">
        <v>0.241</v>
      </c>
      <c r="T45" t="n">
        <v>25</v>
      </c>
      <c r="U45" t="n">
        <v>0.5</v>
      </c>
      <c r="V45" t="inlineStr">
        <is>
          <t>5/6</t>
        </is>
      </c>
      <c r="W45" t="n">
        <v>44.1</v>
      </c>
      <c r="X45" t="n">
        <v>17</v>
      </c>
      <c r="AA45" t="n">
        <v>15.4</v>
      </c>
    </row>
    <row r="46">
      <c r="A46" t="inlineStr">
        <is>
          <t>Iowa State</t>
        </is>
      </c>
      <c r="B46" t="n">
        <v>3</v>
      </c>
      <c r="C46" t="n">
        <v>669.55</v>
      </c>
      <c r="D46">
        <f>IFERROR(INDEX('Power Ratings'!$L$2:$L$139,MATCH($A46,'Power Ratings'!$B$2:$B$139,0)),"")</f>
        <v/>
      </c>
      <c r="E46" t="n">
        <v>4.397</v>
      </c>
      <c r="F46" t="n">
        <v>5.8</v>
      </c>
      <c r="G46" t="n">
        <v>3</v>
      </c>
      <c r="H46" t="n">
        <v>25.4</v>
      </c>
      <c r="I46" t="n">
        <v>0.22</v>
      </c>
      <c r="J46" t="n">
        <v>6.45</v>
      </c>
      <c r="K46" t="n">
        <v>0.15</v>
      </c>
      <c r="L46" t="n">
        <v>0.389</v>
      </c>
      <c r="M46" t="n">
        <v>49</v>
      </c>
      <c r="N46" t="inlineStr">
        <is>
          <t>28:45</t>
        </is>
      </c>
      <c r="O46" t="n">
        <v>19.9</v>
      </c>
      <c r="P46" t="n">
        <v>-0.16</v>
      </c>
      <c r="Q46" t="n">
        <v>3.81</v>
      </c>
      <c r="R46" t="n">
        <v>0.187</v>
      </c>
      <c r="S46" t="n">
        <v>0.319</v>
      </c>
      <c r="T46" t="n">
        <v>37</v>
      </c>
      <c r="U46" t="n">
        <v>0.4</v>
      </c>
      <c r="V46" t="inlineStr">
        <is>
          <t>5/6</t>
        </is>
      </c>
      <c r="W46" t="n">
        <v>41.1</v>
      </c>
      <c r="X46" t="n">
        <v>16.9</v>
      </c>
      <c r="Y46" t="n">
        <v>46.7</v>
      </c>
      <c r="Z46" t="n">
        <v>12</v>
      </c>
      <c r="AA46" t="n">
        <v>19.5</v>
      </c>
    </row>
    <row r="47">
      <c r="A47" t="inlineStr">
        <is>
          <t>Jacksonville State</t>
        </is>
      </c>
      <c r="B47" t="n">
        <v>4</v>
      </c>
      <c r="C47" t="n">
        <v>602.83</v>
      </c>
      <c r="D47">
        <f>IFERROR(INDEX('Power Ratings'!$L$2:$L$139,MATCH($A47,'Power Ratings'!$B$2:$B$139,0)),"")</f>
        <v/>
      </c>
      <c r="E47" t="n">
        <v>-8.83</v>
      </c>
      <c r="F47" t="n">
        <v>-3.2</v>
      </c>
      <c r="G47" t="n">
        <v>-1</v>
      </c>
      <c r="H47" t="n">
        <v>26.9</v>
      </c>
      <c r="I47" t="n">
        <v>0.21</v>
      </c>
      <c r="J47" t="n">
        <v>6.12</v>
      </c>
      <c r="K47" t="n">
        <v>0.149</v>
      </c>
      <c r="L47" t="n">
        <v>0.458</v>
      </c>
      <c r="M47" t="n">
        <v>79</v>
      </c>
      <c r="N47" t="inlineStr">
        <is>
          <t>25:37</t>
        </is>
      </c>
      <c r="O47" t="n">
        <v>29.7</v>
      </c>
      <c r="P47" t="n">
        <v>0.02</v>
      </c>
      <c r="Q47" t="n">
        <v>4.92</v>
      </c>
      <c r="R47" t="n">
        <v>0.148</v>
      </c>
      <c r="S47" t="n">
        <v>0.421</v>
      </c>
      <c r="T47" t="n">
        <v>75</v>
      </c>
      <c r="U47" t="n">
        <v>-0.3</v>
      </c>
      <c r="V47" t="inlineStr">
        <is>
          <t>3/5</t>
        </is>
      </c>
      <c r="W47" t="n">
        <v>47.4</v>
      </c>
      <c r="X47" t="n">
        <v>23</v>
      </c>
      <c r="Y47" t="n">
        <v>19</v>
      </c>
      <c r="Z47" t="n">
        <v>0</v>
      </c>
      <c r="AA47" t="n">
        <v>33.1</v>
      </c>
    </row>
    <row r="48">
      <c r="A48" t="inlineStr">
        <is>
          <t>James Madison</t>
        </is>
      </c>
      <c r="B48" t="n">
        <v>3</v>
      </c>
      <c r="C48" t="n">
        <v>588.3099999999999</v>
      </c>
      <c r="D48">
        <f>IFERROR(INDEX('Power Ratings'!$L$2:$L$139,MATCH($A48,'Power Ratings'!$B$2:$B$139,0)),"")</f>
        <v/>
      </c>
      <c r="E48" t="n">
        <v>3.246</v>
      </c>
      <c r="F48" t="n">
        <v>6.2</v>
      </c>
      <c r="G48" t="n">
        <v>2</v>
      </c>
      <c r="H48" t="n">
        <v>28.8</v>
      </c>
      <c r="I48" t="n">
        <v>0.36</v>
      </c>
      <c r="J48" t="n">
        <v>7.01</v>
      </c>
      <c r="K48" t="n">
        <v>0.101</v>
      </c>
      <c r="L48" t="n">
        <v>0.505</v>
      </c>
      <c r="M48" t="n">
        <v>62</v>
      </c>
      <c r="N48" t="inlineStr">
        <is>
          <t>25:13</t>
        </is>
      </c>
      <c r="O48" t="n">
        <v>22.3</v>
      </c>
      <c r="P48" t="n">
        <v>-0.21</v>
      </c>
      <c r="Q48" t="n">
        <v>4.43</v>
      </c>
      <c r="R48" t="n">
        <v>0.156</v>
      </c>
      <c r="S48" t="n">
        <v>0.28</v>
      </c>
      <c r="T48" t="n">
        <v>50</v>
      </c>
      <c r="U48" t="n">
        <v>-0.2</v>
      </c>
      <c r="V48" t="inlineStr">
        <is>
          <t>5/5</t>
        </is>
      </c>
      <c r="W48" t="n">
        <v>44</v>
      </c>
      <c r="X48" t="n">
        <v>18</v>
      </c>
      <c r="Y48" t="n">
        <v>48.3</v>
      </c>
      <c r="Z48" t="n">
        <v>3.6</v>
      </c>
      <c r="AA48" t="n">
        <v>19.9</v>
      </c>
    </row>
    <row r="49">
      <c r="A49" t="inlineStr">
        <is>
          <t>Kansas</t>
        </is>
      </c>
      <c r="B49" t="n">
        <v>3</v>
      </c>
      <c r="C49" t="n">
        <v>684.51</v>
      </c>
      <c r="D49">
        <f>IFERROR(INDEX('Power Ratings'!$L$2:$L$139,MATCH($A49,'Power Ratings'!$B$2:$B$139,0)),"")</f>
        <v/>
      </c>
      <c r="E49" t="n">
        <v>-0.135</v>
      </c>
      <c r="F49" t="n">
        <v>3</v>
      </c>
      <c r="G49" t="n">
        <v>-5</v>
      </c>
      <c r="H49" t="n">
        <v>27.4</v>
      </c>
      <c r="I49" t="n">
        <v>0.2</v>
      </c>
      <c r="J49" t="n">
        <v>5.91</v>
      </c>
      <c r="K49" t="n">
        <v>0.173</v>
      </c>
      <c r="L49" t="n">
        <v>0.441</v>
      </c>
      <c r="M49" t="n">
        <v>69</v>
      </c>
      <c r="N49" t="inlineStr">
        <is>
          <t>30:21</t>
        </is>
      </c>
      <c r="O49" t="n">
        <v>24.8</v>
      </c>
      <c r="P49" t="n">
        <v>-0.07000000000000001</v>
      </c>
      <c r="Q49" t="n">
        <v>4.44</v>
      </c>
      <c r="R49" t="n">
        <v>0.2</v>
      </c>
      <c r="S49" t="n">
        <v>0.308</v>
      </c>
      <c r="T49" t="n">
        <v>45</v>
      </c>
      <c r="U49" t="n">
        <v>0.4</v>
      </c>
      <c r="V49" t="inlineStr">
        <is>
          <t>2/4</t>
        </is>
      </c>
      <c r="W49" t="n">
        <v>37.6</v>
      </c>
      <c r="X49" t="n">
        <v>14.5</v>
      </c>
      <c r="Y49" t="n">
        <v>16</v>
      </c>
      <c r="Z49" t="n">
        <v>7</v>
      </c>
      <c r="AA49" t="n">
        <v>59</v>
      </c>
    </row>
    <row r="50">
      <c r="A50" t="inlineStr">
        <is>
          <t>Kansas State</t>
        </is>
      </c>
      <c r="B50" t="n">
        <v>3</v>
      </c>
      <c r="C50" t="n">
        <v>718.67</v>
      </c>
      <c r="D50">
        <f>IFERROR(INDEX('Power Ratings'!$L$2:$L$139,MATCH($A50,'Power Ratings'!$B$2:$B$139,0)),"")</f>
        <v/>
      </c>
      <c r="E50" t="n">
        <v>11.165</v>
      </c>
      <c r="F50" t="n">
        <v>14.4</v>
      </c>
      <c r="G50" t="n">
        <v>-1</v>
      </c>
      <c r="H50" t="n">
        <v>34.7</v>
      </c>
      <c r="I50" t="n">
        <v>0.34</v>
      </c>
      <c r="J50" t="n">
        <v>7.02</v>
      </c>
      <c r="K50" t="n">
        <v>0.08799999999999999</v>
      </c>
      <c r="L50" t="n">
        <v>0.53</v>
      </c>
      <c r="M50" t="n">
        <v>78</v>
      </c>
      <c r="N50" t="inlineStr">
        <is>
          <t>33:55</t>
        </is>
      </c>
      <c r="O50" t="n">
        <v>20.6</v>
      </c>
      <c r="P50" t="n">
        <v>-0.16</v>
      </c>
      <c r="Q50" t="n">
        <v>3.28</v>
      </c>
      <c r="R50" t="n">
        <v>0.262</v>
      </c>
      <c r="S50" t="n">
        <v>0.273</v>
      </c>
      <c r="T50" t="n">
        <v>37</v>
      </c>
      <c r="U50" t="n">
        <v>0.3</v>
      </c>
      <c r="V50" t="inlineStr">
        <is>
          <t>3/3</t>
        </is>
      </c>
      <c r="W50" t="n">
        <v>47.9</v>
      </c>
      <c r="X50" t="n">
        <v>17.6</v>
      </c>
      <c r="Y50" t="n">
        <v>15.8</v>
      </c>
      <c r="Z50" t="n">
        <v>5</v>
      </c>
      <c r="AA50" t="n">
        <v>21</v>
      </c>
    </row>
    <row r="51">
      <c r="A51" t="inlineStr">
        <is>
          <t>Kennesaw State</t>
        </is>
      </c>
      <c r="B51" t="n">
        <v>3</v>
      </c>
      <c r="C51" t="n">
        <v>502.86</v>
      </c>
      <c r="D51">
        <f>IFERROR(INDEX('Power Ratings'!$L$2:$L$139,MATCH($A51,'Power Ratings'!$B$2:$B$139,0)),"")</f>
        <v/>
      </c>
      <c r="E51" t="n">
        <v>-10.953</v>
      </c>
      <c r="F51" t="n">
        <v>-12.5</v>
      </c>
      <c r="G51" t="n">
        <v>1</v>
      </c>
      <c r="H51" t="n">
        <v>19.9</v>
      </c>
      <c r="I51" t="n">
        <v>0.11</v>
      </c>
      <c r="J51" t="n">
        <v>5.63</v>
      </c>
      <c r="K51" t="n">
        <v>0.146</v>
      </c>
      <c r="L51" t="n">
        <v>0.456</v>
      </c>
      <c r="M51" t="n">
        <v>65</v>
      </c>
      <c r="N51" t="inlineStr">
        <is>
          <t>29:05</t>
        </is>
      </c>
      <c r="O51" t="n">
        <v>31.9</v>
      </c>
      <c r="P51" t="n">
        <v>0.12</v>
      </c>
      <c r="Q51" t="n">
        <v>5.79</v>
      </c>
      <c r="R51" t="n">
        <v>0.095</v>
      </c>
      <c r="S51" t="n">
        <v>0.411</v>
      </c>
      <c r="T51" t="n">
        <v>56</v>
      </c>
      <c r="U51" t="n">
        <v>-0.5</v>
      </c>
      <c r="V51" t="inlineStr">
        <is>
          <t>4/4</t>
        </is>
      </c>
      <c r="W51" t="n">
        <v>42</v>
      </c>
      <c r="X51" t="n">
        <v>2</v>
      </c>
      <c r="Y51" t="n">
        <v>19.9</v>
      </c>
      <c r="Z51" t="n">
        <v>13</v>
      </c>
      <c r="AA51" t="n">
        <v>10.8</v>
      </c>
    </row>
    <row r="52">
      <c r="A52" t="inlineStr">
        <is>
          <t>Kent State</t>
        </is>
      </c>
      <c r="B52" t="n">
        <v>3</v>
      </c>
      <c r="C52" t="n">
        <v>522.83</v>
      </c>
      <c r="D52">
        <f>IFERROR(INDEX('Power Ratings'!$L$2:$L$139,MATCH($A52,'Power Ratings'!$B$2:$B$139,0)),"")</f>
        <v/>
      </c>
      <c r="E52" t="n">
        <v>-23.199</v>
      </c>
      <c r="F52" t="n">
        <v>-24.8</v>
      </c>
      <c r="G52" t="n">
        <v>-3</v>
      </c>
      <c r="H52" t="n">
        <v>13.7</v>
      </c>
      <c r="I52" t="n">
        <v>-0.11</v>
      </c>
      <c r="J52" t="n">
        <v>4.35</v>
      </c>
      <c r="K52" t="n">
        <v>0.191</v>
      </c>
      <c r="L52" t="n">
        <v>0.303</v>
      </c>
      <c r="M52" t="n">
        <v>37</v>
      </c>
      <c r="N52" t="inlineStr">
        <is>
          <t>30:45</t>
        </is>
      </c>
      <c r="O52" t="n">
        <v>38</v>
      </c>
      <c r="P52" t="n">
        <v>0.24</v>
      </c>
      <c r="Q52" t="n">
        <v>7.04</v>
      </c>
      <c r="R52" t="n">
        <v>0.13</v>
      </c>
      <c r="S52" t="n">
        <v>0.534</v>
      </c>
      <c r="T52" t="n">
        <v>70</v>
      </c>
      <c r="U52" t="n">
        <v>-0.5</v>
      </c>
      <c r="V52" t="inlineStr">
        <is>
          <t>1/2</t>
        </is>
      </c>
      <c r="W52" t="n">
        <v>40.9</v>
      </c>
      <c r="X52" t="n">
        <v>-13</v>
      </c>
      <c r="Y52" t="n">
        <v>15</v>
      </c>
      <c r="Z52" t="n">
        <v>6.8</v>
      </c>
      <c r="AA52" t="n">
        <v>25.5</v>
      </c>
    </row>
    <row r="53">
      <c r="A53" t="inlineStr">
        <is>
          <t>Kentucky</t>
        </is>
      </c>
      <c r="B53" t="n">
        <v>3</v>
      </c>
      <c r="C53" t="n">
        <v>786.65</v>
      </c>
      <c r="D53">
        <f>IFERROR(INDEX('Power Ratings'!$L$2:$L$139,MATCH($A53,'Power Ratings'!$B$2:$B$139,0)),"")</f>
        <v/>
      </c>
      <c r="E53" t="n">
        <v>8.414999999999999</v>
      </c>
      <c r="F53" t="n">
        <v>6.5</v>
      </c>
      <c r="G53" t="n">
        <v>3</v>
      </c>
      <c r="H53" t="n">
        <v>28.2</v>
      </c>
      <c r="I53" t="n">
        <v>0.2</v>
      </c>
      <c r="J53" t="n">
        <v>6.27</v>
      </c>
      <c r="K53" t="n">
        <v>0.142</v>
      </c>
      <c r="L53" t="n">
        <v>0.481</v>
      </c>
      <c r="M53" t="n">
        <v>56</v>
      </c>
      <c r="N53" t="inlineStr">
        <is>
          <t>29:04</t>
        </is>
      </c>
      <c r="O53" t="n">
        <v>21.7</v>
      </c>
      <c r="P53" t="n">
        <v>0.03</v>
      </c>
      <c r="Q53" t="n">
        <v>5.03</v>
      </c>
      <c r="R53" t="n">
        <v>0.186</v>
      </c>
      <c r="S53" t="n">
        <v>0.437</v>
      </c>
      <c r="T53" t="n">
        <v>64</v>
      </c>
      <c r="U53" t="n">
        <v>0</v>
      </c>
      <c r="V53" t="inlineStr">
        <is>
          <t>3/4</t>
        </is>
      </c>
      <c r="W53" t="n">
        <v>41.6</v>
      </c>
      <c r="X53" t="n">
        <v>4.7</v>
      </c>
      <c r="Y53" t="n">
        <v>18.8</v>
      </c>
      <c r="Z53" t="n">
        <v>4.3</v>
      </c>
      <c r="AA53" t="n">
        <v>10</v>
      </c>
    </row>
    <row r="54">
      <c r="A54" t="inlineStr">
        <is>
          <t>LSU</t>
        </is>
      </c>
      <c r="B54" t="n">
        <v>3</v>
      </c>
      <c r="C54" t="n">
        <v>931.76</v>
      </c>
      <c r="D54">
        <f>IFERROR(INDEX('Power Ratings'!$L$2:$L$139,MATCH($A54,'Power Ratings'!$B$2:$B$139,0)),"")</f>
        <v/>
      </c>
      <c r="E54" t="n">
        <v>20.353</v>
      </c>
      <c r="F54" t="n">
        <v>20.3</v>
      </c>
      <c r="G54" t="n">
        <v>-1</v>
      </c>
      <c r="H54" t="n">
        <v>33.3</v>
      </c>
      <c r="I54" t="n">
        <v>0.21</v>
      </c>
      <c r="J54" t="n">
        <v>6.03</v>
      </c>
      <c r="K54" t="n">
        <v>0.171</v>
      </c>
      <c r="L54" t="n">
        <v>0.488</v>
      </c>
      <c r="M54" t="n">
        <v>83</v>
      </c>
      <c r="N54" t="inlineStr">
        <is>
          <t>33:31</t>
        </is>
      </c>
      <c r="O54" t="n">
        <v>13.2</v>
      </c>
      <c r="P54" t="n">
        <v>-0.15</v>
      </c>
      <c r="Q54" t="n">
        <v>4.04</v>
      </c>
      <c r="R54" t="n">
        <v>0.223</v>
      </c>
      <c r="S54" t="n">
        <v>0.291</v>
      </c>
      <c r="T54" t="n">
        <v>41</v>
      </c>
      <c r="U54" t="n">
        <v>0.2</v>
      </c>
      <c r="V54" t="inlineStr">
        <is>
          <t>5/6</t>
        </is>
      </c>
      <c r="W54" t="n">
        <v>36.1</v>
      </c>
      <c r="X54" t="n">
        <v>11</v>
      </c>
      <c r="Y54" t="n">
        <v>19</v>
      </c>
      <c r="Z54" t="n">
        <v>0.5</v>
      </c>
      <c r="AA54" t="n">
        <v>24.2</v>
      </c>
    </row>
    <row r="55">
      <c r="A55" t="inlineStr">
        <is>
          <t>Liberty</t>
        </is>
      </c>
      <c r="B55" t="n">
        <v>3</v>
      </c>
      <c r="C55" t="n">
        <v>633.35</v>
      </c>
      <c r="D55">
        <f>IFERROR(INDEX('Power Ratings'!$L$2:$L$139,MATCH($A55,'Power Ratings'!$B$2:$B$139,0)),"")</f>
        <v/>
      </c>
      <c r="E55" t="n">
        <v>-4.399</v>
      </c>
      <c r="F55" t="n">
        <v>-3</v>
      </c>
      <c r="G55" t="n">
        <v>1</v>
      </c>
      <c r="H55" t="n">
        <v>26.1</v>
      </c>
      <c r="I55" t="n">
        <v>0.08</v>
      </c>
      <c r="J55" t="n">
        <v>5.95</v>
      </c>
      <c r="K55" t="n">
        <v>0.155</v>
      </c>
      <c r="L55" t="n">
        <v>0.43</v>
      </c>
      <c r="M55" t="n">
        <v>60</v>
      </c>
      <c r="N55" t="inlineStr">
        <is>
          <t>32:48</t>
        </is>
      </c>
      <c r="O55" t="n">
        <v>28.9</v>
      </c>
      <c r="P55" t="n">
        <v>0.08</v>
      </c>
      <c r="Q55" t="n">
        <v>4.86</v>
      </c>
      <c r="R55" t="n">
        <v>0.204</v>
      </c>
      <c r="S55" t="n">
        <v>0.387</v>
      </c>
      <c r="T55" t="n">
        <v>55</v>
      </c>
      <c r="U55" t="n">
        <v>-0.2</v>
      </c>
      <c r="V55" t="inlineStr">
        <is>
          <t>4/4</t>
        </is>
      </c>
      <c r="W55" t="n">
        <v>43.3</v>
      </c>
      <c r="X55" t="n">
        <v>3.5</v>
      </c>
      <c r="Y55" t="n">
        <v>20.5</v>
      </c>
      <c r="Z55" t="n">
        <v>5</v>
      </c>
      <c r="AA55" t="n">
        <v>18.8</v>
      </c>
    </row>
    <row r="56">
      <c r="A56" t="inlineStr">
        <is>
          <t>Louisiana</t>
        </is>
      </c>
      <c r="B56" t="n">
        <v>3</v>
      </c>
      <c r="C56" t="n">
        <v>590.9400000000001</v>
      </c>
      <c r="D56">
        <f>IFERROR(INDEX('Power Ratings'!$L$2:$L$139,MATCH($A56,'Power Ratings'!$B$2:$B$139,0)),"")</f>
        <v/>
      </c>
      <c r="E56" t="n">
        <v>-5.55</v>
      </c>
      <c r="F56" t="n">
        <v>-7.2</v>
      </c>
      <c r="G56" t="n">
        <v>1</v>
      </c>
      <c r="H56" t="n">
        <v>25.5</v>
      </c>
      <c r="I56" t="n">
        <v>0.2</v>
      </c>
      <c r="J56" t="n">
        <v>6.05</v>
      </c>
      <c r="K56" t="n">
        <v>0.13</v>
      </c>
      <c r="L56" t="n">
        <v>0.438</v>
      </c>
      <c r="M56" t="n">
        <v>63</v>
      </c>
      <c r="N56" t="inlineStr">
        <is>
          <t>31:56</t>
        </is>
      </c>
      <c r="O56" t="n">
        <v>32.3</v>
      </c>
      <c r="P56" t="n">
        <v>-0.06</v>
      </c>
      <c r="Q56" t="n">
        <v>4.79</v>
      </c>
      <c r="R56" t="n">
        <v>0.152</v>
      </c>
      <c r="S56" t="n">
        <v>0.426</v>
      </c>
      <c r="T56" t="n">
        <v>52</v>
      </c>
      <c r="U56" t="n">
        <v>-0.4</v>
      </c>
      <c r="V56" t="inlineStr">
        <is>
          <t>2/2</t>
        </is>
      </c>
      <c r="W56" t="n">
        <v>39.6</v>
      </c>
      <c r="X56" t="n">
        <v>9</v>
      </c>
      <c r="Y56" t="n">
        <v>17.4</v>
      </c>
      <c r="Z56" t="n">
        <v>21.7</v>
      </c>
      <c r="AA56" t="n">
        <v>18.1</v>
      </c>
    </row>
    <row r="57">
      <c r="A57" t="inlineStr">
        <is>
          <t>Louisiana Tech</t>
        </is>
      </c>
      <c r="B57" t="n">
        <v>3</v>
      </c>
      <c r="C57" t="n">
        <v>543.02</v>
      </c>
      <c r="D57">
        <f>IFERROR(INDEX('Power Ratings'!$L$2:$L$139,MATCH($A57,'Power Ratings'!$B$2:$B$139,0)),"")</f>
        <v/>
      </c>
      <c r="E57" t="n">
        <v>-6.988</v>
      </c>
      <c r="F57" t="n">
        <v>-8.199999999999999</v>
      </c>
      <c r="G57" t="n">
        <v>2</v>
      </c>
      <c r="H57" t="n">
        <v>22.2</v>
      </c>
      <c r="I57" t="n">
        <v>0.01</v>
      </c>
      <c r="J57" t="n">
        <v>5.36</v>
      </c>
      <c r="K57" t="n">
        <v>0.181</v>
      </c>
      <c r="L57" t="n">
        <v>0.337</v>
      </c>
      <c r="M57" t="n">
        <v>56</v>
      </c>
      <c r="N57" t="inlineStr">
        <is>
          <t>27:40</t>
        </is>
      </c>
      <c r="O57" t="n">
        <v>30.4</v>
      </c>
      <c r="P57" t="n">
        <v>-0.01</v>
      </c>
      <c r="Q57" t="n">
        <v>5.02</v>
      </c>
      <c r="R57" t="n">
        <v>0.242</v>
      </c>
      <c r="S57" t="n">
        <v>0.347</v>
      </c>
      <c r="T57" t="n">
        <v>55</v>
      </c>
      <c r="U57" t="n">
        <v>0</v>
      </c>
      <c r="V57" t="inlineStr">
        <is>
          <t>1/3</t>
        </is>
      </c>
      <c r="W57" t="n">
        <v>43.9</v>
      </c>
      <c r="X57" t="n">
        <v>16.3</v>
      </c>
      <c r="Y57" t="n">
        <v>19.2</v>
      </c>
      <c r="Z57" t="n">
        <v>8</v>
      </c>
    </row>
    <row r="58">
      <c r="A58" t="inlineStr">
        <is>
          <t>Louisiana-Monroe</t>
        </is>
      </c>
      <c r="B58" t="n">
        <v>3</v>
      </c>
      <c r="C58" t="n">
        <v>505.49</v>
      </c>
      <c r="D58">
        <f>IFERROR(INDEX('Power Ratings'!$L$2:$L$139,MATCH($A58,'Power Ratings'!$B$2:$B$139,0)),"")</f>
        <v/>
      </c>
      <c r="E58" t="n">
        <v>-22.6</v>
      </c>
      <c r="F58" t="n">
        <v>-28</v>
      </c>
      <c r="G58" t="n">
        <v>-1</v>
      </c>
      <c r="H58" t="n">
        <v>13.1</v>
      </c>
      <c r="I58" t="n">
        <v>-0.11</v>
      </c>
      <c r="J58" t="n">
        <v>4.96</v>
      </c>
      <c r="K58" t="n">
        <v>0.177</v>
      </c>
      <c r="L58" t="n">
        <v>0.423</v>
      </c>
      <c r="M58" t="n">
        <v>60</v>
      </c>
      <c r="N58" t="inlineStr">
        <is>
          <t>31:08</t>
        </is>
      </c>
      <c r="O58" t="n">
        <v>40.5</v>
      </c>
      <c r="P58" t="n">
        <v>0.31</v>
      </c>
      <c r="Q58" t="n">
        <v>7.04</v>
      </c>
      <c r="R58" t="n">
        <v>0.127</v>
      </c>
      <c r="S58" t="n">
        <v>0.515</v>
      </c>
      <c r="T58" t="n">
        <v>73</v>
      </c>
      <c r="U58" t="n">
        <v>-0.6</v>
      </c>
      <c r="V58" t="inlineStr">
        <is>
          <t>4/5</t>
        </is>
      </c>
      <c r="W58" t="n">
        <v>43.5</v>
      </c>
      <c r="X58" t="n">
        <v>1.7</v>
      </c>
      <c r="Y58" t="n">
        <v>18.4</v>
      </c>
      <c r="Z58" t="n">
        <v>19.8</v>
      </c>
      <c r="AA58" t="n">
        <v>15.5</v>
      </c>
    </row>
    <row r="59">
      <c r="A59" t="inlineStr">
        <is>
          <t>Louisville</t>
        </is>
      </c>
      <c r="B59" t="n">
        <v>3</v>
      </c>
      <c r="C59" t="n">
        <v>739.97</v>
      </c>
      <c r="D59">
        <f>IFERROR(INDEX('Power Ratings'!$L$2:$L$139,MATCH($A59,'Power Ratings'!$B$2:$B$139,0)),"")</f>
        <v/>
      </c>
      <c r="E59" t="n">
        <v>13.874</v>
      </c>
      <c r="F59" t="n">
        <v>13.3</v>
      </c>
      <c r="G59" t="n">
        <v>6</v>
      </c>
      <c r="H59" t="n">
        <v>34.5</v>
      </c>
      <c r="I59" t="n">
        <v>0.44</v>
      </c>
      <c r="J59" t="n">
        <v>7.97</v>
      </c>
      <c r="K59" t="n">
        <v>0.128</v>
      </c>
      <c r="L59" t="n">
        <v>0.528</v>
      </c>
      <c r="M59" t="n">
        <v>71</v>
      </c>
      <c r="N59" t="inlineStr">
        <is>
          <t>29:24</t>
        </is>
      </c>
      <c r="O59" t="n">
        <v>21.4</v>
      </c>
      <c r="P59" t="n">
        <v>0.08</v>
      </c>
      <c r="Q59" t="n">
        <v>5.55</v>
      </c>
      <c r="R59" t="n">
        <v>0.138</v>
      </c>
      <c r="S59" t="n">
        <v>0.393</v>
      </c>
      <c r="T59" t="n">
        <v>66</v>
      </c>
      <c r="U59" t="n">
        <v>0.2</v>
      </c>
      <c r="V59" t="inlineStr">
        <is>
          <t>4/4</t>
        </is>
      </c>
      <c r="W59" t="n">
        <v>40.5</v>
      </c>
      <c r="X59" t="n">
        <v>9.800000000000001</v>
      </c>
      <c r="Y59" t="n">
        <v>20.7</v>
      </c>
      <c r="Z59" t="n">
        <v>4</v>
      </c>
      <c r="AA59" t="n">
        <v>10.5</v>
      </c>
    </row>
    <row r="60">
      <c r="A60" t="inlineStr">
        <is>
          <t>Marshall</t>
        </is>
      </c>
      <c r="B60" t="n">
        <v>3</v>
      </c>
      <c r="C60" t="n">
        <v>594.71</v>
      </c>
      <c r="D60">
        <f>IFERROR(INDEX('Power Ratings'!$L$2:$L$139,MATCH($A60,'Power Ratings'!$B$2:$B$139,0)),"")</f>
        <v/>
      </c>
      <c r="E60" t="n">
        <v>-11.922</v>
      </c>
      <c r="F60" t="n">
        <v>-11</v>
      </c>
      <c r="G60" t="n">
        <v>-2</v>
      </c>
      <c r="H60" t="n">
        <v>25.7</v>
      </c>
      <c r="I60" t="n">
        <v>0.06</v>
      </c>
      <c r="J60" t="n">
        <v>4.95</v>
      </c>
      <c r="K60" t="n">
        <v>0.188</v>
      </c>
      <c r="L60" t="n">
        <v>0.419</v>
      </c>
      <c r="M60" t="n">
        <v>55</v>
      </c>
      <c r="N60" t="inlineStr">
        <is>
          <t>28:30</t>
        </is>
      </c>
      <c r="O60" t="n">
        <v>36.8</v>
      </c>
      <c r="P60" t="n">
        <v>0.33</v>
      </c>
      <c r="Q60" t="n">
        <v>6.53</v>
      </c>
      <c r="R60" t="n">
        <v>0.106</v>
      </c>
      <c r="S60" t="n">
        <v>0.5</v>
      </c>
      <c r="T60" t="n">
        <v>71</v>
      </c>
      <c r="U60" t="n">
        <v>0.2</v>
      </c>
      <c r="V60" t="inlineStr">
        <is>
          <t>3/4</t>
        </is>
      </c>
      <c r="W60" t="n">
        <v>45.3</v>
      </c>
      <c r="X60" t="n">
        <v>8.300000000000001</v>
      </c>
      <c r="Y60" t="n">
        <v>20.6</v>
      </c>
      <c r="Z60" t="n">
        <v>11.7</v>
      </c>
      <c r="AA60" t="n">
        <v>34</v>
      </c>
    </row>
    <row r="61">
      <c r="A61" t="inlineStr">
        <is>
          <t>Maryland</t>
        </is>
      </c>
      <c r="B61" t="n">
        <v>3</v>
      </c>
      <c r="C61" t="n">
        <v>719.64</v>
      </c>
      <c r="D61">
        <f>IFERROR(INDEX('Power Ratings'!$L$2:$L$139,MATCH($A61,'Power Ratings'!$B$2:$B$139,0)),"")</f>
        <v/>
      </c>
      <c r="E61" t="n">
        <v>5.489</v>
      </c>
      <c r="F61" t="n">
        <v>7.9</v>
      </c>
      <c r="G61" t="n">
        <v>4</v>
      </c>
      <c r="H61" t="n">
        <v>29.6</v>
      </c>
      <c r="I61" t="n">
        <v>0.35</v>
      </c>
      <c r="J61" t="n">
        <v>7.02</v>
      </c>
      <c r="K61" t="n">
        <v>0.112</v>
      </c>
      <c r="L61" t="n">
        <v>0.527</v>
      </c>
      <c r="M61" t="n">
        <v>81</v>
      </c>
      <c r="N61" t="inlineStr">
        <is>
          <t>29:18</t>
        </is>
      </c>
      <c r="O61" t="n">
        <v>21.9</v>
      </c>
      <c r="P61" t="n">
        <v>0.01</v>
      </c>
      <c r="Q61" t="n">
        <v>4.25</v>
      </c>
      <c r="R61" t="n">
        <v>0.149</v>
      </c>
      <c r="S61" t="n">
        <v>0.37</v>
      </c>
      <c r="T61" t="n">
        <v>43</v>
      </c>
      <c r="U61" t="n">
        <v>0.2</v>
      </c>
      <c r="V61" t="inlineStr">
        <is>
          <t>3/4</t>
        </is>
      </c>
      <c r="W61" t="n">
        <v>38.7</v>
      </c>
      <c r="X61" t="n">
        <v>19.3</v>
      </c>
      <c r="Z61" t="n">
        <v>18</v>
      </c>
      <c r="AA61" t="n">
        <v>18</v>
      </c>
    </row>
    <row r="62">
      <c r="A62" t="inlineStr">
        <is>
          <t>Memphis</t>
        </is>
      </c>
      <c r="B62" t="n">
        <v>4</v>
      </c>
      <c r="C62" t="n">
        <v>670.3099999999999</v>
      </c>
      <c r="D62">
        <f>IFERROR(INDEX('Power Ratings'!$L$2:$L$139,MATCH($A62,'Power Ratings'!$B$2:$B$139,0)),"")</f>
        <v/>
      </c>
      <c r="E62" t="n">
        <v>-0.804</v>
      </c>
      <c r="F62" t="n">
        <v>3.7</v>
      </c>
      <c r="G62" t="n">
        <v>-1</v>
      </c>
      <c r="H62" t="n">
        <v>33.3</v>
      </c>
      <c r="I62" t="n">
        <v>0.26</v>
      </c>
      <c r="J62" t="n">
        <v>8.130000000000001</v>
      </c>
      <c r="K62" t="n">
        <v>0.126</v>
      </c>
      <c r="L62" t="n">
        <v>0.472</v>
      </c>
      <c r="M62" t="n">
        <v>89</v>
      </c>
      <c r="N62" t="inlineStr">
        <is>
          <t>26:24</t>
        </is>
      </c>
      <c r="O62" t="n">
        <v>29.8</v>
      </c>
      <c r="P62" t="n">
        <v>0.18</v>
      </c>
      <c r="Q62" t="n">
        <v>6.53</v>
      </c>
      <c r="R62" t="n">
        <v>0.149</v>
      </c>
      <c r="S62" t="n">
        <v>0.418</v>
      </c>
      <c r="T62" t="n">
        <v>87</v>
      </c>
      <c r="U62" t="n">
        <v>0.2</v>
      </c>
      <c r="V62" t="inlineStr">
        <is>
          <t>5/6</t>
        </is>
      </c>
      <c r="W62" t="n">
        <v>44.8</v>
      </c>
      <c r="X62" t="n">
        <v>2.7</v>
      </c>
      <c r="Y62" t="n">
        <v>23.8</v>
      </c>
      <c r="Z62" t="n">
        <v>16</v>
      </c>
      <c r="AA62" t="n">
        <v>15</v>
      </c>
    </row>
    <row r="63">
      <c r="A63" t="inlineStr">
        <is>
          <t>Miami</t>
        </is>
      </c>
      <c r="B63" t="n">
        <v>3</v>
      </c>
      <c r="C63" t="n">
        <v>885.9400000000001</v>
      </c>
      <c r="D63">
        <f>IFERROR(INDEX('Power Ratings'!$L$2:$L$139,MATCH($A63,'Power Ratings'!$B$2:$B$139,0)),"")</f>
        <v/>
      </c>
      <c r="E63" t="n">
        <v>23.862</v>
      </c>
      <c r="F63" t="n">
        <v>23.2</v>
      </c>
      <c r="G63" t="n">
        <v>-2</v>
      </c>
      <c r="H63" t="n">
        <v>36.8</v>
      </c>
      <c r="I63" t="n">
        <v>0.45</v>
      </c>
      <c r="J63" t="n">
        <v>8.57</v>
      </c>
      <c r="K63" t="n">
        <v>0.047</v>
      </c>
      <c r="L63" t="n">
        <v>0.5659999999999999</v>
      </c>
      <c r="M63" t="n">
        <v>92</v>
      </c>
      <c r="N63" t="inlineStr">
        <is>
          <t>35:39</t>
        </is>
      </c>
      <c r="O63" t="n">
        <v>13.9</v>
      </c>
      <c r="P63" t="n">
        <v>-0.03</v>
      </c>
      <c r="Q63" t="n">
        <v>4.25</v>
      </c>
      <c r="R63" t="n">
        <v>0.141</v>
      </c>
      <c r="S63" t="n">
        <v>0.345</v>
      </c>
      <c r="T63" t="n">
        <v>41</v>
      </c>
      <c r="U63" t="n">
        <v>0.3</v>
      </c>
      <c r="V63" t="inlineStr">
        <is>
          <t>2/3</t>
        </is>
      </c>
      <c r="W63" t="n">
        <v>46.3</v>
      </c>
      <c r="X63" t="n">
        <v>10</v>
      </c>
      <c r="Y63" t="n">
        <v>18.7</v>
      </c>
      <c r="Z63" t="n">
        <v>7</v>
      </c>
      <c r="AA63" t="n">
        <v>18</v>
      </c>
    </row>
    <row r="64">
      <c r="A64" t="inlineStr">
        <is>
          <t>Miami (OH)</t>
        </is>
      </c>
      <c r="B64" t="n">
        <v>3</v>
      </c>
      <c r="C64" t="n">
        <v>621.37</v>
      </c>
      <c r="D64">
        <f>IFERROR(INDEX('Power Ratings'!$L$2:$L$139,MATCH($A64,'Power Ratings'!$B$2:$B$139,0)),"")</f>
        <v/>
      </c>
      <c r="E64" t="n">
        <v>-8.43</v>
      </c>
      <c r="F64" t="n">
        <v>-6</v>
      </c>
      <c r="G64" t="n">
        <v>-2</v>
      </c>
      <c r="H64" t="n">
        <v>21</v>
      </c>
      <c r="I64" t="n">
        <v>0.26</v>
      </c>
      <c r="J64" t="n">
        <v>6.76</v>
      </c>
      <c r="K64" t="n">
        <v>0.145</v>
      </c>
      <c r="L64" t="n">
        <v>0.434</v>
      </c>
      <c r="M64" t="n">
        <v>59</v>
      </c>
      <c r="N64" t="inlineStr">
        <is>
          <t>30:19</t>
        </is>
      </c>
      <c r="O64" t="n">
        <v>27.4</v>
      </c>
      <c r="P64" t="n">
        <v>0.2</v>
      </c>
      <c r="Q64" t="n">
        <v>6.53</v>
      </c>
      <c r="R64" t="n">
        <v>0.1</v>
      </c>
      <c r="S64" t="n">
        <v>0.47</v>
      </c>
      <c r="T64" t="n">
        <v>68</v>
      </c>
      <c r="U64" t="n">
        <v>0.4</v>
      </c>
      <c r="V64" t="inlineStr">
        <is>
          <t>2/4</t>
        </is>
      </c>
      <c r="W64" t="n">
        <v>43</v>
      </c>
      <c r="X64" t="n">
        <v>9.300000000000001</v>
      </c>
      <c r="Y64" t="n">
        <v>43.6</v>
      </c>
      <c r="Z64" t="n">
        <v>8</v>
      </c>
      <c r="AA64" t="n">
        <v>25.5</v>
      </c>
    </row>
    <row r="65">
      <c r="A65" t="inlineStr">
        <is>
          <t>Michigan</t>
        </is>
      </c>
      <c r="B65" t="n">
        <v>3</v>
      </c>
      <c r="C65" t="n">
        <v>890.02</v>
      </c>
      <c r="D65">
        <f>IFERROR(INDEX('Power Ratings'!$L$2:$L$139,MATCH($A65,'Power Ratings'!$B$2:$B$139,0)),"")</f>
        <v/>
      </c>
      <c r="E65" t="n">
        <v>14.898</v>
      </c>
      <c r="F65" t="n">
        <v>15.1</v>
      </c>
      <c r="G65" t="n">
        <v>-2</v>
      </c>
      <c r="H65" t="n">
        <v>30.9</v>
      </c>
      <c r="I65" t="n">
        <v>0.18</v>
      </c>
      <c r="J65" t="n">
        <v>5.51</v>
      </c>
      <c r="K65" t="n">
        <v>0.153</v>
      </c>
      <c r="L65" t="n">
        <v>0.429</v>
      </c>
      <c r="M65" t="n">
        <v>53</v>
      </c>
      <c r="N65" t="inlineStr">
        <is>
          <t>28:16</t>
        </is>
      </c>
      <c r="O65" t="n">
        <v>15.4</v>
      </c>
      <c r="P65" t="n">
        <v>-0.13</v>
      </c>
      <c r="Q65" t="n">
        <v>3.75</v>
      </c>
      <c r="R65" t="n">
        <v>0.193</v>
      </c>
      <c r="S65" t="n">
        <v>0.32</v>
      </c>
      <c r="T65" t="n">
        <v>42</v>
      </c>
      <c r="U65" t="n">
        <v>-0.3</v>
      </c>
      <c r="V65" t="inlineStr">
        <is>
          <t>2/2</t>
        </is>
      </c>
      <c r="W65" t="n">
        <v>43.5</v>
      </c>
      <c r="X65" t="n">
        <v>4.8</v>
      </c>
      <c r="Y65" t="n">
        <v>21.7</v>
      </c>
      <c r="Z65" t="n">
        <v>4.2</v>
      </c>
      <c r="AA65" t="n">
        <v>19.5</v>
      </c>
    </row>
    <row r="66">
      <c r="A66" t="inlineStr">
        <is>
          <t>Michigan State</t>
        </is>
      </c>
      <c r="B66" t="n">
        <v>3</v>
      </c>
      <c r="C66" t="n">
        <v>685.02</v>
      </c>
      <c r="D66">
        <f>IFERROR(INDEX('Power Ratings'!$L$2:$L$139,MATCH($A66,'Power Ratings'!$B$2:$B$139,0)),"")</f>
        <v/>
      </c>
      <c r="E66" t="n">
        <v>4.246</v>
      </c>
      <c r="F66" t="n">
        <v>2.3</v>
      </c>
      <c r="G66" t="n">
        <v>-1</v>
      </c>
      <c r="H66" t="n">
        <v>27.1</v>
      </c>
      <c r="I66" t="n">
        <v>0.08</v>
      </c>
      <c r="J66" t="n">
        <v>5.21</v>
      </c>
      <c r="K66" t="n">
        <v>0.17</v>
      </c>
      <c r="L66" t="n">
        <v>0.437</v>
      </c>
      <c r="M66" t="n">
        <v>61</v>
      </c>
      <c r="N66" t="inlineStr">
        <is>
          <t>32:32</t>
        </is>
      </c>
      <c r="O66" t="n">
        <v>24.5</v>
      </c>
      <c r="P66" t="n">
        <v>0.11</v>
      </c>
      <c r="Q66" t="n">
        <v>5.54</v>
      </c>
      <c r="R66" t="n">
        <v>0.166</v>
      </c>
      <c r="S66" t="n">
        <v>0.417</v>
      </c>
      <c r="T66" t="n">
        <v>43</v>
      </c>
      <c r="U66" t="n">
        <v>-0.3</v>
      </c>
      <c r="V66" t="inlineStr">
        <is>
          <t>6/7</t>
        </is>
      </c>
      <c r="W66" t="n">
        <v>46.6</v>
      </c>
      <c r="X66" t="n">
        <v>15.2</v>
      </c>
      <c r="Y66" t="n">
        <v>27.2</v>
      </c>
      <c r="AA66" t="n">
        <v>21.7</v>
      </c>
    </row>
    <row r="67">
      <c r="A67" t="inlineStr">
        <is>
          <t>Middle Tennessee</t>
        </is>
      </c>
      <c r="B67" t="n">
        <v>3</v>
      </c>
      <c r="C67" t="n">
        <v>571.5</v>
      </c>
      <c r="D67">
        <f>IFERROR(INDEX('Power Ratings'!$L$2:$L$139,MATCH($A67,'Power Ratings'!$B$2:$B$139,0)),"")</f>
        <v/>
      </c>
      <c r="E67" t="n">
        <v>-13.164</v>
      </c>
      <c r="F67" t="n">
        <v>-18.9</v>
      </c>
      <c r="G67" t="n">
        <v>4</v>
      </c>
      <c r="H67" t="n">
        <v>17.2</v>
      </c>
      <c r="I67" t="n">
        <v>0.22</v>
      </c>
      <c r="J67" t="n">
        <v>5.86</v>
      </c>
      <c r="K67" t="n">
        <v>0.09</v>
      </c>
      <c r="L67" t="n">
        <v>0.423</v>
      </c>
      <c r="M67" t="n">
        <v>62</v>
      </c>
      <c r="N67" t="inlineStr">
        <is>
          <t>30:59</t>
        </is>
      </c>
      <c r="O67" t="n">
        <v>36.2</v>
      </c>
      <c r="P67" t="n">
        <v>0.07000000000000001</v>
      </c>
      <c r="Q67" t="n">
        <v>5.11</v>
      </c>
      <c r="R67" t="n">
        <v>0.135</v>
      </c>
      <c r="S67" t="n">
        <v>0.409</v>
      </c>
      <c r="T67" t="n">
        <v>50</v>
      </c>
      <c r="U67" t="n">
        <v>0.2</v>
      </c>
      <c r="V67" t="inlineStr">
        <is>
          <t>5/6</t>
        </is>
      </c>
      <c r="W67" t="n">
        <v>48.1</v>
      </c>
      <c r="X67" t="n">
        <v>7.1</v>
      </c>
      <c r="Y67" t="n">
        <v>16</v>
      </c>
      <c r="Z67" t="n">
        <v>14.7</v>
      </c>
      <c r="AA67" t="n">
        <v>20.8</v>
      </c>
    </row>
    <row r="68">
      <c r="A68" t="inlineStr">
        <is>
          <t>Minnesota</t>
        </is>
      </c>
      <c r="B68" t="n">
        <v>3</v>
      </c>
      <c r="C68" t="n">
        <v>728.79</v>
      </c>
      <c r="D68">
        <f>IFERROR(INDEX('Power Ratings'!$L$2:$L$139,MATCH($A68,'Power Ratings'!$B$2:$B$139,0)),"")</f>
        <v/>
      </c>
      <c r="E68" t="n">
        <v>0.917</v>
      </c>
      <c r="F68" t="n">
        <v>5.9</v>
      </c>
      <c r="G68" t="n">
        <v>1</v>
      </c>
      <c r="H68" t="n">
        <v>26.5</v>
      </c>
      <c r="I68" t="n">
        <v>0.15</v>
      </c>
      <c r="J68" t="n">
        <v>5.97</v>
      </c>
      <c r="K68" t="n">
        <v>0.149</v>
      </c>
      <c r="L68" t="n">
        <v>0.495</v>
      </c>
      <c r="M68" t="n">
        <v>62</v>
      </c>
      <c r="N68" t="inlineStr">
        <is>
          <t>33:23</t>
        </is>
      </c>
      <c r="O68" t="n">
        <v>20.2</v>
      </c>
      <c r="P68" t="n">
        <v>0.03</v>
      </c>
      <c r="Q68" t="n">
        <v>4.74</v>
      </c>
      <c r="R68" t="n">
        <v>0.22</v>
      </c>
      <c r="S68" t="n">
        <v>0.366</v>
      </c>
      <c r="T68" t="n">
        <v>48</v>
      </c>
      <c r="U68" t="n">
        <v>-0.4</v>
      </c>
      <c r="V68" t="inlineStr">
        <is>
          <t>5/5</t>
        </is>
      </c>
      <c r="W68" t="n">
        <v>42.2</v>
      </c>
      <c r="X68" t="n">
        <v>27.7</v>
      </c>
      <c r="Y68" t="n">
        <v>26</v>
      </c>
      <c r="Z68" t="n">
        <v>3</v>
      </c>
      <c r="AA68" t="n">
        <v>16</v>
      </c>
    </row>
    <row r="69">
      <c r="A69" t="inlineStr">
        <is>
          <t>Mississippi State</t>
        </is>
      </c>
      <c r="B69" t="n">
        <v>3</v>
      </c>
      <c r="C69" t="n">
        <v>804.53</v>
      </c>
      <c r="D69">
        <f>IFERROR(INDEX('Power Ratings'!$L$2:$L$139,MATCH($A69,'Power Ratings'!$B$2:$B$139,0)),"")</f>
        <v/>
      </c>
      <c r="E69" t="n">
        <v>14.123</v>
      </c>
      <c r="F69" t="n">
        <v>12</v>
      </c>
      <c r="G69" t="n">
        <v>0</v>
      </c>
      <c r="H69" t="n">
        <v>35.4</v>
      </c>
      <c r="I69" t="n">
        <v>0.46</v>
      </c>
      <c r="J69" t="n">
        <v>7.86</v>
      </c>
      <c r="K69" t="n">
        <v>0.111</v>
      </c>
      <c r="L69" t="n">
        <v>0.536</v>
      </c>
      <c r="M69" t="n">
        <v>82</v>
      </c>
      <c r="N69" t="inlineStr">
        <is>
          <t>28:04</t>
        </is>
      </c>
      <c r="O69" t="n">
        <v>23.9</v>
      </c>
      <c r="P69" t="n">
        <v>-0.02</v>
      </c>
      <c r="Q69" t="n">
        <v>4.77</v>
      </c>
      <c r="R69" t="n">
        <v>0.149</v>
      </c>
      <c r="S69" t="n">
        <v>0.349</v>
      </c>
      <c r="T69" t="n">
        <v>53</v>
      </c>
      <c r="U69" t="n">
        <v>0.5</v>
      </c>
      <c r="V69" t="inlineStr">
        <is>
          <t>5/6</t>
        </is>
      </c>
      <c r="W69" t="n">
        <v>41.2</v>
      </c>
      <c r="Y69" t="n">
        <v>6.5</v>
      </c>
      <c r="Z69" t="n">
        <v>4</v>
      </c>
      <c r="AA69" t="n">
        <v>22.4</v>
      </c>
    </row>
    <row r="70">
      <c r="A70" t="inlineStr">
        <is>
          <t>Missouri</t>
        </is>
      </c>
      <c r="B70" t="n">
        <v>3</v>
      </c>
      <c r="C70" t="n">
        <v>808.36</v>
      </c>
      <c r="D70">
        <f>IFERROR(INDEX('Power Ratings'!$L$2:$L$139,MATCH($A70,'Power Ratings'!$B$2:$B$139,0)),"")</f>
        <v/>
      </c>
      <c r="E70" t="n">
        <v>10.542</v>
      </c>
      <c r="F70" t="n">
        <v>15</v>
      </c>
      <c r="G70" t="n">
        <v>3</v>
      </c>
      <c r="H70" t="n">
        <v>31.7</v>
      </c>
      <c r="I70" t="n">
        <v>0.23</v>
      </c>
      <c r="J70" t="n">
        <v>6.43</v>
      </c>
      <c r="K70" t="n">
        <v>0.128</v>
      </c>
      <c r="L70" t="n">
        <v>0.433</v>
      </c>
      <c r="M70" t="n">
        <v>67</v>
      </c>
      <c r="N70" t="inlineStr">
        <is>
          <t>29:19</t>
        </is>
      </c>
      <c r="O70" t="n">
        <v>16.3</v>
      </c>
      <c r="P70" t="n">
        <v>-0.07000000000000001</v>
      </c>
      <c r="Q70" t="n">
        <v>4.04</v>
      </c>
      <c r="R70" t="n">
        <v>0.254</v>
      </c>
      <c r="S70" t="n">
        <v>0.316</v>
      </c>
      <c r="T70" t="n">
        <v>49</v>
      </c>
      <c r="U70" t="n">
        <v>-0.4</v>
      </c>
      <c r="V70" t="inlineStr">
        <is>
          <t>4/6</t>
        </is>
      </c>
      <c r="W70" t="n">
        <v>47.2</v>
      </c>
      <c r="X70" t="n">
        <v>25.5</v>
      </c>
      <c r="Y70" t="n">
        <v>17</v>
      </c>
      <c r="AA70" t="n">
        <v>17</v>
      </c>
    </row>
    <row r="71">
      <c r="A71" t="inlineStr">
        <is>
          <t>Missouri State</t>
        </is>
      </c>
      <c r="B71" t="n">
        <v>3</v>
      </c>
      <c r="C71" t="n">
        <v>549.92</v>
      </c>
      <c r="D71">
        <f>IFERROR(INDEX('Power Ratings'!$L$2:$L$139,MATCH($A71,'Power Ratings'!$B$2:$B$139,0)),"")</f>
        <v/>
      </c>
      <c r="E71" t="n">
        <v>-13.432</v>
      </c>
      <c r="F71" t="n">
        <v>-17.4</v>
      </c>
      <c r="G71" t="n">
        <v>0</v>
      </c>
      <c r="H71" t="n">
        <v>17.7</v>
      </c>
      <c r="I71" t="n">
        <v>0.18</v>
      </c>
      <c r="J71" t="n">
        <v>6.32</v>
      </c>
      <c r="K71" t="n">
        <v>0.13</v>
      </c>
      <c r="L71" t="n">
        <v>0.435</v>
      </c>
      <c r="M71" t="n">
        <v>55</v>
      </c>
      <c r="N71" t="inlineStr">
        <is>
          <t>25:33</t>
        </is>
      </c>
      <c r="O71" t="n">
        <v>34.6</v>
      </c>
      <c r="P71" t="n">
        <v>0.24</v>
      </c>
      <c r="Q71" t="n">
        <v>5.68</v>
      </c>
      <c r="R71" t="n">
        <v>0.17</v>
      </c>
      <c r="S71" t="n">
        <v>0.505</v>
      </c>
      <c r="T71" t="n">
        <v>71</v>
      </c>
      <c r="U71" t="n">
        <v>-0.5</v>
      </c>
      <c r="V71" t="inlineStr">
        <is>
          <t>1/3</t>
        </is>
      </c>
      <c r="W71" t="n">
        <v>43</v>
      </c>
      <c r="X71" t="n">
        <v>7</v>
      </c>
      <c r="Y71" t="n">
        <v>13.2</v>
      </c>
      <c r="Z71" t="n">
        <v>8.6</v>
      </c>
      <c r="AA71" t="n">
        <v>21</v>
      </c>
    </row>
    <row r="72">
      <c r="A72" t="inlineStr">
        <is>
          <t>NC State</t>
        </is>
      </c>
      <c r="B72" t="n">
        <v>3</v>
      </c>
      <c r="C72" t="n">
        <v>757.14</v>
      </c>
      <c r="D72">
        <f>IFERROR(INDEX('Power Ratings'!$L$2:$L$139,MATCH($A72,'Power Ratings'!$B$2:$B$139,0)),"")</f>
        <v/>
      </c>
      <c r="E72" t="n">
        <v>2.026</v>
      </c>
      <c r="F72" t="n">
        <v>5</v>
      </c>
      <c r="G72" t="n">
        <v>-1</v>
      </c>
      <c r="H72" t="n">
        <v>30.9</v>
      </c>
      <c r="I72" t="n">
        <v>0.2</v>
      </c>
      <c r="J72" t="n">
        <v>6.77</v>
      </c>
      <c r="K72" t="n">
        <v>0.158</v>
      </c>
      <c r="L72" t="n">
        <v>0.47</v>
      </c>
      <c r="M72" t="n">
        <v>66</v>
      </c>
      <c r="N72" t="inlineStr">
        <is>
          <t>31:50</t>
        </is>
      </c>
      <c r="O72" t="n">
        <v>25.6</v>
      </c>
      <c r="P72" t="n">
        <v>0.13</v>
      </c>
      <c r="Q72" t="n">
        <v>5.33</v>
      </c>
      <c r="R72" t="n">
        <v>0.156</v>
      </c>
      <c r="S72" t="n">
        <v>0.411</v>
      </c>
      <c r="T72" t="n">
        <v>45</v>
      </c>
      <c r="U72" t="n">
        <v>-0.3</v>
      </c>
      <c r="V72" t="inlineStr">
        <is>
          <t>2/2</t>
        </is>
      </c>
      <c r="W72" t="n">
        <v>42.6</v>
      </c>
      <c r="X72" t="n">
        <v>11</v>
      </c>
      <c r="Y72" t="n">
        <v>24</v>
      </c>
      <c r="Z72" t="n">
        <v>0</v>
      </c>
      <c r="AA72" t="n">
        <v>15.2</v>
      </c>
    </row>
    <row r="73">
      <c r="A73" t="inlineStr">
        <is>
          <t>Navy</t>
        </is>
      </c>
      <c r="B73" t="n">
        <v>2</v>
      </c>
      <c r="C73" t="n">
        <v>195.68</v>
      </c>
      <c r="D73">
        <f>IFERROR(INDEX('Power Ratings'!$L$2:$L$139,MATCH($A73,'Power Ratings'!$B$2:$B$139,0)),"")</f>
        <v/>
      </c>
      <c r="E73" t="n">
        <v>-5.343</v>
      </c>
      <c r="F73" t="n">
        <v>-2.3</v>
      </c>
      <c r="G73" t="n">
        <v>-2</v>
      </c>
      <c r="H73" t="n">
        <v>26.7</v>
      </c>
      <c r="I73" t="n">
        <v>0.32</v>
      </c>
      <c r="J73" t="n">
        <v>6.67</v>
      </c>
      <c r="K73" t="n">
        <v>0.125</v>
      </c>
      <c r="L73" t="n">
        <v>0.529</v>
      </c>
      <c r="M73" t="n">
        <v>48</v>
      </c>
      <c r="N73" t="inlineStr">
        <is>
          <t>33:00</t>
        </is>
      </c>
      <c r="O73" t="n">
        <v>29.1</v>
      </c>
      <c r="P73" t="n">
        <v>0.15</v>
      </c>
      <c r="Q73" t="n">
        <v>5.81</v>
      </c>
      <c r="R73" t="n">
        <v>0.148</v>
      </c>
      <c r="S73" t="n">
        <v>0.393</v>
      </c>
      <c r="T73" t="n">
        <v>40</v>
      </c>
      <c r="U73" t="n">
        <v>0.2</v>
      </c>
      <c r="V73" t="inlineStr">
        <is>
          <t>0/1</t>
        </is>
      </c>
      <c r="W73" t="n">
        <v>44.2</v>
      </c>
      <c r="X73" t="n">
        <v>3</v>
      </c>
      <c r="Y73" t="n">
        <v>27</v>
      </c>
      <c r="Z73" t="n">
        <v>10</v>
      </c>
      <c r="AA73" t="n">
        <v>16</v>
      </c>
    </row>
    <row r="74">
      <c r="A74" t="inlineStr">
        <is>
          <t>Nebraska</t>
        </is>
      </c>
      <c r="B74" t="n">
        <v>3</v>
      </c>
      <c r="C74" t="n">
        <v>787.45</v>
      </c>
      <c r="D74">
        <f>IFERROR(INDEX('Power Ratings'!$L$2:$L$139,MATCH($A74,'Power Ratings'!$B$2:$B$139,0)),"")</f>
        <v/>
      </c>
      <c r="E74" t="n">
        <v>14.184</v>
      </c>
      <c r="F74" t="n">
        <v>14.5</v>
      </c>
      <c r="G74" t="n">
        <v>2</v>
      </c>
      <c r="H74" t="n">
        <v>33.5</v>
      </c>
      <c r="I74" t="n">
        <v>0.47</v>
      </c>
      <c r="J74" t="n">
        <v>7.4</v>
      </c>
      <c r="K74" t="n">
        <v>0.108</v>
      </c>
      <c r="L74" t="n">
        <v>0.514</v>
      </c>
      <c r="M74" t="n">
        <v>78</v>
      </c>
      <c r="N74" t="inlineStr">
        <is>
          <t>32:42</t>
        </is>
      </c>
      <c r="O74" t="n">
        <v>19</v>
      </c>
      <c r="P74" t="n">
        <v>0.03</v>
      </c>
      <c r="Q74" t="n">
        <v>4.03</v>
      </c>
      <c r="R74" t="n">
        <v>0.183</v>
      </c>
      <c r="S74" t="n">
        <v>0.331</v>
      </c>
      <c r="T74" t="n">
        <v>36</v>
      </c>
      <c r="U74" t="n">
        <v>0</v>
      </c>
      <c r="V74" t="inlineStr">
        <is>
          <t>2/4</t>
        </is>
      </c>
      <c r="W74" t="n">
        <v>39.5</v>
      </c>
      <c r="X74" t="n">
        <v>6</v>
      </c>
      <c r="Y74" t="n">
        <v>20.7</v>
      </c>
      <c r="AA74" t="n">
        <v>16.2</v>
      </c>
    </row>
    <row r="75">
      <c r="A75" t="inlineStr">
        <is>
          <t>Nevada</t>
        </is>
      </c>
      <c r="B75" t="n">
        <v>3</v>
      </c>
      <c r="C75" t="n">
        <v>549.99</v>
      </c>
      <c r="D75">
        <f>IFERROR(INDEX('Power Ratings'!$L$2:$L$139,MATCH($A75,'Power Ratings'!$B$2:$B$139,0)),"")</f>
        <v/>
      </c>
      <c r="E75" t="n">
        <v>-8.452999999999999</v>
      </c>
      <c r="F75" t="n">
        <v>-9.6</v>
      </c>
      <c r="G75" t="n">
        <v>-6</v>
      </c>
      <c r="H75" t="n">
        <v>18.7</v>
      </c>
      <c r="I75" t="n">
        <v>0.08</v>
      </c>
      <c r="J75" t="n">
        <v>5.84</v>
      </c>
      <c r="K75" t="n">
        <v>0.116</v>
      </c>
      <c r="L75" t="n">
        <v>0.418</v>
      </c>
      <c r="M75" t="n">
        <v>57</v>
      </c>
      <c r="N75" t="inlineStr">
        <is>
          <t>26:46</t>
        </is>
      </c>
      <c r="O75" t="n">
        <v>28.7</v>
      </c>
      <c r="P75" t="n">
        <v>0.1</v>
      </c>
      <c r="Q75" t="n">
        <v>4.84</v>
      </c>
      <c r="R75" t="n">
        <v>0.124</v>
      </c>
      <c r="S75" t="n">
        <v>0.417</v>
      </c>
      <c r="T75" t="n">
        <v>63</v>
      </c>
      <c r="U75" t="n">
        <v>0.3</v>
      </c>
      <c r="V75" t="inlineStr">
        <is>
          <t>2/2</t>
        </is>
      </c>
      <c r="W75" t="n">
        <v>42.4</v>
      </c>
      <c r="X75" t="n">
        <v>14.6</v>
      </c>
      <c r="Y75" t="n">
        <v>23.1</v>
      </c>
      <c r="Z75" t="n">
        <v>2</v>
      </c>
      <c r="AA75" t="n">
        <v>14.2</v>
      </c>
    </row>
    <row r="76">
      <c r="A76" t="inlineStr">
        <is>
          <t>New Mexico</t>
        </is>
      </c>
      <c r="B76" t="n">
        <v>3</v>
      </c>
      <c r="C76" t="n">
        <v>568.1900000000001</v>
      </c>
      <c r="D76">
        <f>IFERROR(INDEX('Power Ratings'!$L$2:$L$139,MATCH($A76,'Power Ratings'!$B$2:$B$139,0)),"")</f>
        <v/>
      </c>
      <c r="E76" t="n">
        <v>3.969</v>
      </c>
      <c r="F76" t="n">
        <v>4.8</v>
      </c>
      <c r="G76" t="n">
        <v>11</v>
      </c>
      <c r="H76" t="n">
        <v>26.7</v>
      </c>
      <c r="I76" t="n">
        <v>0.1</v>
      </c>
      <c r="J76" t="n">
        <v>5.15</v>
      </c>
      <c r="K76" t="n">
        <v>0.124</v>
      </c>
      <c r="L76" t="n">
        <v>0.408</v>
      </c>
      <c r="M76" t="n">
        <v>63</v>
      </c>
      <c r="N76" t="inlineStr">
        <is>
          <t>35:03</t>
        </is>
      </c>
      <c r="O76" t="n">
        <v>22.4</v>
      </c>
      <c r="P76" t="n">
        <v>-0.22</v>
      </c>
      <c r="Q76" t="n">
        <v>3.75</v>
      </c>
      <c r="R76" t="n">
        <v>0.259</v>
      </c>
      <c r="S76" t="n">
        <v>0.271</v>
      </c>
      <c r="T76" t="n">
        <v>33</v>
      </c>
      <c r="U76" t="n">
        <v>0.5</v>
      </c>
      <c r="V76" t="inlineStr">
        <is>
          <t>5/7</t>
        </is>
      </c>
      <c r="W76" t="n">
        <v>40.4</v>
      </c>
      <c r="X76" t="n">
        <v>17.7</v>
      </c>
      <c r="Y76" t="n">
        <v>30</v>
      </c>
      <c r="Z76" t="n">
        <v>-4</v>
      </c>
      <c r="AA76" t="n">
        <v>16</v>
      </c>
    </row>
    <row r="77">
      <c r="A77" t="inlineStr">
        <is>
          <t>New Mexico State</t>
        </is>
      </c>
      <c r="B77" t="n">
        <v>3</v>
      </c>
      <c r="C77" t="n">
        <v>460.38</v>
      </c>
      <c r="D77">
        <f>IFERROR(INDEX('Power Ratings'!$L$2:$L$139,MATCH($A77,'Power Ratings'!$B$2:$B$139,0)),"")</f>
        <v/>
      </c>
      <c r="E77" t="n">
        <v>-13.482</v>
      </c>
      <c r="F77" t="n">
        <v>-15.7</v>
      </c>
      <c r="G77" t="n">
        <v>0</v>
      </c>
      <c r="H77" t="n">
        <v>17.9</v>
      </c>
      <c r="I77" t="n">
        <v>0.15</v>
      </c>
      <c r="J77" t="n">
        <v>6.24</v>
      </c>
      <c r="K77" t="n">
        <v>0.159</v>
      </c>
      <c r="L77" t="n">
        <v>0.438</v>
      </c>
      <c r="M77" t="n">
        <v>61</v>
      </c>
      <c r="N77" t="inlineStr">
        <is>
          <t>28:30</t>
        </is>
      </c>
      <c r="O77" t="n">
        <v>33.5</v>
      </c>
      <c r="P77" t="n">
        <v>0.1</v>
      </c>
      <c r="Q77" t="n">
        <v>5.49</v>
      </c>
      <c r="R77" t="n">
        <v>0.129</v>
      </c>
      <c r="S77" t="n">
        <v>0.416</v>
      </c>
      <c r="T77" t="n">
        <v>55</v>
      </c>
      <c r="U77" t="n">
        <v>-0.1</v>
      </c>
      <c r="V77" t="inlineStr">
        <is>
          <t>2/4</t>
        </is>
      </c>
      <c r="W77" t="n">
        <v>39.9</v>
      </c>
      <c r="X77" t="n">
        <v>0.3</v>
      </c>
      <c r="Y77" t="n">
        <v>25</v>
      </c>
      <c r="Z77" t="n">
        <v>3</v>
      </c>
      <c r="AA77" t="n">
        <v>29.1</v>
      </c>
    </row>
    <row r="78">
      <c r="A78" t="inlineStr">
        <is>
          <t>North Carolina</t>
        </is>
      </c>
      <c r="B78" t="n">
        <v>3</v>
      </c>
      <c r="C78" t="n">
        <v>767.89</v>
      </c>
      <c r="D78">
        <f>IFERROR(INDEX('Power Ratings'!$L$2:$L$139,MATCH($A78,'Power Ratings'!$B$2:$B$139,0)),"")</f>
        <v/>
      </c>
      <c r="E78" t="n">
        <v>4.936</v>
      </c>
      <c r="F78" t="n">
        <v>4.5</v>
      </c>
      <c r="G78" t="n">
        <v>1</v>
      </c>
      <c r="H78" t="n">
        <v>25</v>
      </c>
      <c r="I78" t="n">
        <v>0.12</v>
      </c>
      <c r="J78" t="n">
        <v>6.13</v>
      </c>
      <c r="K78" t="n">
        <v>0.132</v>
      </c>
      <c r="L78" t="n">
        <v>0.484</v>
      </c>
      <c r="M78" t="n">
        <v>63</v>
      </c>
      <c r="N78" t="inlineStr">
        <is>
          <t>28:55</t>
        </is>
      </c>
      <c r="O78" t="n">
        <v>20.8</v>
      </c>
      <c r="P78" t="n">
        <v>-0.02</v>
      </c>
      <c r="Q78" t="n">
        <v>4.59</v>
      </c>
      <c r="R78" t="n">
        <v>0.141</v>
      </c>
      <c r="S78" t="n">
        <v>0.393</v>
      </c>
      <c r="T78" t="n">
        <v>54</v>
      </c>
      <c r="U78" t="n">
        <v>0.3</v>
      </c>
      <c r="V78" t="inlineStr">
        <is>
          <t>4/7</t>
        </is>
      </c>
      <c r="W78" t="n">
        <v>46.4</v>
      </c>
      <c r="X78" t="n">
        <v>8.699999999999999</v>
      </c>
      <c r="Y78" t="n">
        <v>19.5</v>
      </c>
      <c r="Z78" t="n">
        <v>10.4</v>
      </c>
      <c r="AA78" t="n">
        <v>21.4</v>
      </c>
    </row>
    <row r="79">
      <c r="A79" t="inlineStr">
        <is>
          <t>North Dakota State</t>
        </is>
      </c>
      <c r="B79" t="n">
        <v>4</v>
      </c>
      <c r="C79" t="n">
        <v>515.59</v>
      </c>
      <c r="D79">
        <f>IFERROR(INDEX('Power Ratings'!$L$2:$L$139,MATCH($A79,'Power Ratings'!$B$2:$B$139,0)),"")</f>
        <v/>
      </c>
      <c r="E79" t="n">
        <v>0.364</v>
      </c>
      <c r="F79" t="n">
        <v>10.6</v>
      </c>
      <c r="G79" t="n">
        <v>8</v>
      </c>
      <c r="H79" t="n">
        <v>30</v>
      </c>
      <c r="I79" t="n">
        <v>0.16</v>
      </c>
      <c r="J79" t="n">
        <v>5.81</v>
      </c>
      <c r="K79" t="n">
        <v>0.115</v>
      </c>
      <c r="L79" t="n">
        <v>0.4</v>
      </c>
      <c r="M79" t="n">
        <v>77</v>
      </c>
      <c r="N79" t="inlineStr">
        <is>
          <t>32:17</t>
        </is>
      </c>
      <c r="O79" t="n">
        <v>19.5</v>
      </c>
      <c r="P79" t="n">
        <v>-0.16</v>
      </c>
      <c r="Q79" t="n">
        <v>4.34</v>
      </c>
      <c r="R79" t="n">
        <v>0.183</v>
      </c>
      <c r="S79" t="n">
        <v>0.392</v>
      </c>
      <c r="T79" t="n">
        <v>64</v>
      </c>
      <c r="U79" t="n">
        <v>0.1</v>
      </c>
      <c r="V79" t="inlineStr">
        <is>
          <t>7/8</t>
        </is>
      </c>
      <c r="W79" t="n">
        <v>43.3</v>
      </c>
      <c r="X79" t="n">
        <v>13.2</v>
      </c>
      <c r="Y79" t="n">
        <v>19.3</v>
      </c>
      <c r="Z79" t="n">
        <v>2.5</v>
      </c>
      <c r="AA79" t="n">
        <v>17</v>
      </c>
    </row>
    <row r="80">
      <c r="A80" t="inlineStr">
        <is>
          <t>North Texas</t>
        </is>
      </c>
      <c r="B80" t="n">
        <v>3</v>
      </c>
      <c r="C80" t="n">
        <v>602.08</v>
      </c>
      <c r="D80">
        <f>IFERROR(INDEX('Power Ratings'!$L$2:$L$139,MATCH($A80,'Power Ratings'!$B$2:$B$139,0)),"")</f>
        <v/>
      </c>
      <c r="E80" t="n">
        <v>-2.315</v>
      </c>
      <c r="F80" t="n">
        <v>-9.199999999999999</v>
      </c>
      <c r="G80" t="n">
        <v>1</v>
      </c>
      <c r="H80" t="n">
        <v>26.2</v>
      </c>
      <c r="I80" t="n">
        <v>0.21</v>
      </c>
      <c r="J80" t="n">
        <v>6.23</v>
      </c>
      <c r="K80" t="n">
        <v>0.129</v>
      </c>
      <c r="L80" t="n">
        <v>0.446</v>
      </c>
      <c r="M80" t="n">
        <v>75</v>
      </c>
      <c r="N80" t="inlineStr">
        <is>
          <t>34:04</t>
        </is>
      </c>
      <c r="O80" t="n">
        <v>35.2</v>
      </c>
      <c r="P80" t="n">
        <v>0.26</v>
      </c>
      <c r="Q80" t="n">
        <v>6.72</v>
      </c>
      <c r="R80" t="n">
        <v>0.116</v>
      </c>
      <c r="S80" t="n">
        <v>0.484</v>
      </c>
      <c r="T80" t="n">
        <v>66</v>
      </c>
      <c r="U80" t="n">
        <v>-0.2</v>
      </c>
      <c r="V80" t="inlineStr">
        <is>
          <t>6/7</t>
        </is>
      </c>
      <c r="W80" t="n">
        <v>38.8</v>
      </c>
      <c r="X80" t="n">
        <v>11</v>
      </c>
      <c r="Y80" t="n">
        <v>22</v>
      </c>
      <c r="Z80" t="n">
        <v>36</v>
      </c>
      <c r="AA80" t="n">
        <v>21.4</v>
      </c>
    </row>
    <row r="81">
      <c r="A81" t="inlineStr">
        <is>
          <t>Northern Illinois</t>
        </is>
      </c>
      <c r="B81" t="n">
        <v>3</v>
      </c>
      <c r="C81" t="n">
        <v>536.58</v>
      </c>
      <c r="D81">
        <f>IFERROR(INDEX('Power Ratings'!$L$2:$L$139,MATCH($A81,'Power Ratings'!$B$2:$B$139,0)),"")</f>
        <v/>
      </c>
      <c r="E81" t="n">
        <v>-17.026</v>
      </c>
      <c r="F81" t="n">
        <v>-19.7</v>
      </c>
      <c r="G81" t="n">
        <v>0</v>
      </c>
      <c r="H81" t="n">
        <v>14.3</v>
      </c>
      <c r="I81" t="n">
        <v>-0.14</v>
      </c>
      <c r="J81" t="n">
        <v>4.09</v>
      </c>
      <c r="K81" t="n">
        <v>0.156</v>
      </c>
      <c r="L81" t="n">
        <v>0.349</v>
      </c>
      <c r="M81" t="n">
        <v>47</v>
      </c>
      <c r="N81" t="inlineStr">
        <is>
          <t>28:11</t>
        </is>
      </c>
      <c r="O81" t="n">
        <v>33.8</v>
      </c>
      <c r="P81" t="n">
        <v>0.14</v>
      </c>
      <c r="Q81" t="n">
        <v>5.86</v>
      </c>
      <c r="R81" t="n">
        <v>0.124</v>
      </c>
      <c r="S81" t="n">
        <v>0.448</v>
      </c>
      <c r="T81" t="n">
        <v>67</v>
      </c>
      <c r="U81" t="n">
        <v>-0.2</v>
      </c>
      <c r="V81" t="inlineStr">
        <is>
          <t>2/4</t>
        </is>
      </c>
      <c r="W81" t="n">
        <v>41.4</v>
      </c>
      <c r="X81" t="n">
        <v>14.8</v>
      </c>
      <c r="Y81" t="n">
        <v>13.5</v>
      </c>
      <c r="Z81" t="n">
        <v>27.6</v>
      </c>
      <c r="AA81" t="n">
        <v>19.5</v>
      </c>
    </row>
    <row r="82">
      <c r="A82" t="inlineStr">
        <is>
          <t>Northwestern</t>
        </is>
      </c>
      <c r="B82" t="n">
        <v>2</v>
      </c>
      <c r="C82" t="n">
        <v>688.3200000000001</v>
      </c>
      <c r="D82">
        <f>IFERROR(INDEX('Power Ratings'!$L$2:$L$139,MATCH($A82,'Power Ratings'!$B$2:$B$139,0)),"")</f>
        <v/>
      </c>
      <c r="E82" t="n">
        <v>9.295999999999999</v>
      </c>
      <c r="F82" t="n">
        <v>7.7</v>
      </c>
      <c r="G82" t="n">
        <v>4</v>
      </c>
      <c r="H82" t="n">
        <v>27.1</v>
      </c>
      <c r="I82" t="n">
        <v>0.33</v>
      </c>
      <c r="J82" t="n">
        <v>7.19</v>
      </c>
      <c r="K82" t="n">
        <v>0.115</v>
      </c>
      <c r="L82" t="n">
        <v>0.492</v>
      </c>
      <c r="M82" t="n">
        <v>40</v>
      </c>
      <c r="N82" t="inlineStr">
        <is>
          <t>31:22</t>
        </is>
      </c>
      <c r="O82" t="n">
        <v>19.9</v>
      </c>
      <c r="P82" t="n">
        <v>0</v>
      </c>
      <c r="Q82" t="n">
        <v>5.2</v>
      </c>
      <c r="R82" t="n">
        <v>0.185</v>
      </c>
      <c r="S82" t="n">
        <v>0.417</v>
      </c>
      <c r="T82" t="n">
        <v>45</v>
      </c>
      <c r="U82" t="n">
        <v>0.4</v>
      </c>
      <c r="V82" t="inlineStr">
        <is>
          <t>4/4</t>
        </is>
      </c>
      <c r="W82" t="n">
        <v>31.6</v>
      </c>
      <c r="X82" t="n">
        <v>4.5</v>
      </c>
      <c r="Y82" t="n">
        <v>21.2</v>
      </c>
      <c r="Z82" t="n">
        <v>1</v>
      </c>
      <c r="AA82" t="n">
        <v>18.7</v>
      </c>
    </row>
    <row r="83">
      <c r="A83" t="inlineStr">
        <is>
          <t>Notre Dame</t>
        </is>
      </c>
      <c r="B83" t="n">
        <v>3</v>
      </c>
      <c r="C83" t="n">
        <v>953.03</v>
      </c>
      <c r="D83">
        <f>IFERROR(INDEX('Power Ratings'!$L$2:$L$139,MATCH($A83,'Power Ratings'!$B$2:$B$139,0)),"")</f>
        <v/>
      </c>
      <c r="E83" t="n">
        <v>26.808</v>
      </c>
      <c r="F83" t="n">
        <v>26.7</v>
      </c>
      <c r="G83" t="n">
        <v>8</v>
      </c>
      <c r="H83" t="n">
        <v>40.2</v>
      </c>
      <c r="I83" t="n">
        <v>0.32</v>
      </c>
      <c r="J83" t="n">
        <v>6.34</v>
      </c>
      <c r="K83" t="n">
        <v>0.091</v>
      </c>
      <c r="L83" t="n">
        <v>0.5</v>
      </c>
      <c r="M83" t="n">
        <v>64</v>
      </c>
      <c r="N83" t="inlineStr">
        <is>
          <t>33:39</t>
        </is>
      </c>
      <c r="O83" t="n">
        <v>13.7</v>
      </c>
      <c r="P83" t="n">
        <v>-0.14</v>
      </c>
      <c r="Q83" t="n">
        <v>3.81</v>
      </c>
      <c r="R83" t="n">
        <v>0.263</v>
      </c>
      <c r="S83" t="n">
        <v>0.327</v>
      </c>
      <c r="T83" t="n">
        <v>34</v>
      </c>
      <c r="U83" t="n">
        <v>0.2</v>
      </c>
      <c r="V83" t="inlineStr">
        <is>
          <t>5/6</t>
        </is>
      </c>
      <c r="W83" t="n">
        <v>45.5</v>
      </c>
      <c r="X83" t="n">
        <v>9.800000000000001</v>
      </c>
      <c r="Y83" t="n">
        <v>21</v>
      </c>
      <c r="Z83" t="n">
        <v>3</v>
      </c>
      <c r="AA83" t="n">
        <v>17.3</v>
      </c>
    </row>
    <row r="84">
      <c r="A84" t="inlineStr">
        <is>
          <t>Ohio</t>
        </is>
      </c>
      <c r="B84" t="n">
        <v>3</v>
      </c>
      <c r="C84" t="n">
        <v>522.84</v>
      </c>
      <c r="D84">
        <f>IFERROR(INDEX('Power Ratings'!$L$2:$L$139,MATCH($A84,'Power Ratings'!$B$2:$B$139,0)),"")</f>
        <v/>
      </c>
      <c r="E84" t="n">
        <v>-10.218</v>
      </c>
      <c r="F84" t="n">
        <v>-12.7</v>
      </c>
      <c r="G84" t="n">
        <v>-2</v>
      </c>
      <c r="H84" t="n">
        <v>16.9</v>
      </c>
      <c r="I84" t="n">
        <v>0.18</v>
      </c>
      <c r="J84" t="n">
        <v>5.01</v>
      </c>
      <c r="K84" t="n">
        <v>0.171</v>
      </c>
      <c r="L84" t="n">
        <v>0.418</v>
      </c>
      <c r="M84" t="n">
        <v>56</v>
      </c>
      <c r="N84" t="inlineStr">
        <is>
          <t>29:29</t>
        </is>
      </c>
      <c r="O84" t="n">
        <v>29.1</v>
      </c>
      <c r="P84" t="n">
        <v>0.37</v>
      </c>
      <c r="Q84" t="n">
        <v>6.61</v>
      </c>
      <c r="R84" t="n">
        <v>0.147</v>
      </c>
      <c r="S84" t="n">
        <v>0.477</v>
      </c>
      <c r="T84" t="n">
        <v>71</v>
      </c>
      <c r="U84" t="n">
        <v>-0.6</v>
      </c>
      <c r="V84" t="inlineStr">
        <is>
          <t>4/7</t>
        </is>
      </c>
      <c r="W84" t="n">
        <v>42.2</v>
      </c>
      <c r="X84" t="n">
        <v>7</v>
      </c>
      <c r="Y84" t="n">
        <v>30.9</v>
      </c>
      <c r="Z84" t="n">
        <v>9</v>
      </c>
      <c r="AA84" t="n">
        <v>14</v>
      </c>
    </row>
    <row r="85">
      <c r="A85" t="inlineStr">
        <is>
          <t>Ohio State</t>
        </is>
      </c>
      <c r="B85" t="n">
        <v>3</v>
      </c>
      <c r="C85" t="n">
        <v>964.27</v>
      </c>
      <c r="D85">
        <f>IFERROR(INDEX('Power Ratings'!$L$2:$L$139,MATCH($A85,'Power Ratings'!$B$2:$B$139,0)),"")</f>
        <v/>
      </c>
      <c r="E85" t="n">
        <v>28.142</v>
      </c>
      <c r="F85" t="n">
        <v>29.7</v>
      </c>
      <c r="G85" t="n">
        <v>2</v>
      </c>
      <c r="H85" t="n">
        <v>40.1</v>
      </c>
      <c r="I85" t="n">
        <v>0.35</v>
      </c>
      <c r="J85" t="n">
        <v>7.81</v>
      </c>
      <c r="K85" t="n">
        <v>0.119</v>
      </c>
      <c r="L85" t="n">
        <v>0.505</v>
      </c>
      <c r="M85" t="n">
        <v>76</v>
      </c>
      <c r="N85" t="inlineStr">
        <is>
          <t>30:10</t>
        </is>
      </c>
      <c r="O85" t="n">
        <v>10.5</v>
      </c>
      <c r="P85" t="n">
        <v>-0.21</v>
      </c>
      <c r="Q85" t="n">
        <v>3.29</v>
      </c>
      <c r="R85" t="n">
        <v>0.199</v>
      </c>
      <c r="S85" t="n">
        <v>0.316</v>
      </c>
      <c r="T85" t="n">
        <v>44</v>
      </c>
      <c r="U85" t="n">
        <v>0</v>
      </c>
      <c r="V85" t="inlineStr">
        <is>
          <t>4/5</t>
        </is>
      </c>
      <c r="W85" t="n">
        <v>41</v>
      </c>
      <c r="X85" t="n">
        <v>4.6</v>
      </c>
      <c r="Y85" t="n">
        <v>13</v>
      </c>
      <c r="Z85" t="n">
        <v>-2</v>
      </c>
      <c r="AA85" t="n">
        <v>13.4</v>
      </c>
    </row>
    <row r="86">
      <c r="A86" t="inlineStr">
        <is>
          <t>Oklahoma</t>
        </is>
      </c>
      <c r="B86" t="n">
        <v>3</v>
      </c>
      <c r="C86" t="n">
        <v>851.14</v>
      </c>
      <c r="D86">
        <f>IFERROR(INDEX('Power Ratings'!$L$2:$L$139,MATCH($A86,'Power Ratings'!$B$2:$B$139,0)),"")</f>
        <v/>
      </c>
      <c r="E86" t="n">
        <v>16.726</v>
      </c>
      <c r="F86" t="n">
        <v>17.6</v>
      </c>
      <c r="G86" t="n">
        <v>-4</v>
      </c>
      <c r="H86" t="n">
        <v>30.1</v>
      </c>
      <c r="I86" t="n">
        <v>0.05</v>
      </c>
      <c r="J86" t="n">
        <v>5.56</v>
      </c>
      <c r="K86" t="n">
        <v>0.157</v>
      </c>
      <c r="L86" t="n">
        <v>0.416</v>
      </c>
      <c r="M86" t="n">
        <v>49</v>
      </c>
      <c r="N86" t="inlineStr">
        <is>
          <t>27:42</t>
        </is>
      </c>
      <c r="O86" t="n">
        <v>12.8</v>
      </c>
      <c r="P86" t="n">
        <v>-0.23</v>
      </c>
      <c r="Q86" t="n">
        <v>3.78</v>
      </c>
      <c r="R86" t="n">
        <v>0.236</v>
      </c>
      <c r="S86" t="n">
        <v>0.282</v>
      </c>
      <c r="T86" t="n">
        <v>36</v>
      </c>
      <c r="U86" t="n">
        <v>0.4</v>
      </c>
      <c r="V86" t="inlineStr">
        <is>
          <t>4/5</t>
        </is>
      </c>
      <c r="W86" t="n">
        <v>44.7</v>
      </c>
      <c r="X86" t="n">
        <v>21.7</v>
      </c>
      <c r="Y86" t="n">
        <v>18.7</v>
      </c>
      <c r="Z86" t="n">
        <v>7.5</v>
      </c>
      <c r="AA86" t="n">
        <v>24</v>
      </c>
    </row>
    <row r="87">
      <c r="A87" t="inlineStr">
        <is>
          <t>Oklahoma State</t>
        </is>
      </c>
      <c r="B87" t="n">
        <v>3</v>
      </c>
      <c r="C87" t="n">
        <v>672.6900000000001</v>
      </c>
      <c r="D87">
        <f>IFERROR(INDEX('Power Ratings'!$L$2:$L$139,MATCH($A87,'Power Ratings'!$B$2:$B$139,0)),"")</f>
        <v/>
      </c>
      <c r="E87" t="n">
        <v>4.973</v>
      </c>
      <c r="F87" t="n">
        <v>8.699999999999999</v>
      </c>
      <c r="G87" t="n">
        <v>-4</v>
      </c>
      <c r="H87" t="n">
        <v>30.5</v>
      </c>
      <c r="I87" t="n">
        <v>0.09</v>
      </c>
      <c r="J87" t="n">
        <v>6.55</v>
      </c>
      <c r="K87" t="n">
        <v>0.096</v>
      </c>
      <c r="L87" t="n">
        <v>0.472</v>
      </c>
      <c r="M87" t="n">
        <v>85</v>
      </c>
      <c r="N87" t="inlineStr">
        <is>
          <t>34:22</t>
        </is>
      </c>
      <c r="O87" t="n">
        <v>22.3</v>
      </c>
      <c r="P87" t="n">
        <v>-0.02</v>
      </c>
      <c r="Q87" t="n">
        <v>4.95</v>
      </c>
      <c r="R87" t="n">
        <v>0.158</v>
      </c>
      <c r="S87" t="n">
        <v>0.339</v>
      </c>
      <c r="T87" t="n">
        <v>32</v>
      </c>
      <c r="U87" t="n">
        <v>0.4</v>
      </c>
      <c r="V87" t="inlineStr">
        <is>
          <t>6/6</t>
        </is>
      </c>
      <c r="W87" t="n">
        <v>43</v>
      </c>
      <c r="X87" t="n">
        <v>15.9</v>
      </c>
      <c r="Y87" t="n">
        <v>9.300000000000001</v>
      </c>
      <c r="Z87" t="n">
        <v>-1</v>
      </c>
      <c r="AA87" t="n">
        <v>20</v>
      </c>
    </row>
    <row r="88">
      <c r="A88" t="inlineStr">
        <is>
          <t>Old Dominion</t>
        </is>
      </c>
      <c r="B88" t="n">
        <v>3</v>
      </c>
      <c r="C88" t="n">
        <v>544.25</v>
      </c>
      <c r="D88">
        <f>IFERROR(INDEX('Power Ratings'!$L$2:$L$139,MATCH($A88,'Power Ratings'!$B$2:$B$139,0)),"")</f>
        <v/>
      </c>
      <c r="E88" t="n">
        <v>-7.353</v>
      </c>
      <c r="F88" t="n">
        <v>-7</v>
      </c>
      <c r="G88" t="n">
        <v>-1</v>
      </c>
      <c r="H88" t="n">
        <v>19.1</v>
      </c>
      <c r="I88" t="n">
        <v>-0.07000000000000001</v>
      </c>
      <c r="J88" t="n">
        <v>5.28</v>
      </c>
      <c r="K88" t="n">
        <v>0.241</v>
      </c>
      <c r="L88" t="n">
        <v>0.329</v>
      </c>
      <c r="M88" t="n">
        <v>41</v>
      </c>
      <c r="N88" t="inlineStr">
        <is>
          <t>26:13</t>
        </is>
      </c>
      <c r="O88" t="n">
        <v>25.6</v>
      </c>
      <c r="P88" t="n">
        <v>-0.08</v>
      </c>
      <c r="Q88" t="n">
        <v>4.26</v>
      </c>
      <c r="R88" t="n">
        <v>0.184</v>
      </c>
      <c r="S88" t="n">
        <v>0.313</v>
      </c>
      <c r="T88" t="n">
        <v>55</v>
      </c>
      <c r="U88" t="n">
        <v>-0.5</v>
      </c>
      <c r="V88" t="inlineStr">
        <is>
          <t>4/4</t>
        </is>
      </c>
      <c r="W88" t="n">
        <v>40.7</v>
      </c>
      <c r="X88" t="n">
        <v>10.1</v>
      </c>
      <c r="Y88" t="n">
        <v>23</v>
      </c>
      <c r="Z88" t="n">
        <v>18.6</v>
      </c>
      <c r="AA88" t="n">
        <v>9.5</v>
      </c>
    </row>
    <row r="89">
      <c r="A89" t="inlineStr">
        <is>
          <t>Ole Miss</t>
        </is>
      </c>
      <c r="B89" t="n">
        <v>3</v>
      </c>
      <c r="C89" t="n">
        <v>885.72</v>
      </c>
      <c r="D89">
        <f>IFERROR(INDEX('Power Ratings'!$L$2:$L$139,MATCH($A89,'Power Ratings'!$B$2:$B$139,0)),"")</f>
        <v/>
      </c>
      <c r="E89" t="n">
        <v>17.705</v>
      </c>
      <c r="F89" t="n">
        <v>15.6</v>
      </c>
      <c r="G89" t="n">
        <v>-2</v>
      </c>
      <c r="H89" t="n">
        <v>36.3</v>
      </c>
      <c r="I89" t="n">
        <v>0.29</v>
      </c>
      <c r="J89" t="n">
        <v>6.38</v>
      </c>
      <c r="K89" t="n">
        <v>0.117</v>
      </c>
      <c r="L89" t="n">
        <v>0.507</v>
      </c>
      <c r="M89" t="n">
        <v>74</v>
      </c>
      <c r="N89" t="inlineStr">
        <is>
          <t>27:11</t>
        </is>
      </c>
      <c r="O89" t="n">
        <v>21.3</v>
      </c>
      <c r="P89" t="n">
        <v>0.17</v>
      </c>
      <c r="Q89" t="n">
        <v>5.63</v>
      </c>
      <c r="R89" t="n">
        <v>0.166</v>
      </c>
      <c r="S89" t="n">
        <v>0.422</v>
      </c>
      <c r="T89" t="n">
        <v>56</v>
      </c>
      <c r="U89" t="n">
        <v>0.6</v>
      </c>
      <c r="V89" t="inlineStr">
        <is>
          <t>5/7</t>
        </is>
      </c>
      <c r="W89" t="n">
        <v>44.4</v>
      </c>
      <c r="X89" t="n">
        <v>2.3</v>
      </c>
      <c r="Y89" t="n">
        <v>17.5</v>
      </c>
      <c r="Z89" t="n">
        <v>3</v>
      </c>
      <c r="AA89" t="n">
        <v>17.8</v>
      </c>
    </row>
    <row r="90">
      <c r="A90" t="inlineStr">
        <is>
          <t>Oregon</t>
        </is>
      </c>
      <c r="B90" t="n">
        <v>3</v>
      </c>
      <c r="C90" t="n">
        <v>984.33</v>
      </c>
      <c r="D90">
        <f>IFERROR(INDEX('Power Ratings'!$L$2:$L$139,MATCH($A90,'Power Ratings'!$B$2:$B$139,0)),"")</f>
        <v/>
      </c>
      <c r="E90" t="n">
        <v>19.213</v>
      </c>
      <c r="F90" t="n">
        <v>24.4</v>
      </c>
      <c r="G90" t="n">
        <v>4</v>
      </c>
      <c r="H90" t="n">
        <v>39.7</v>
      </c>
      <c r="I90" t="n">
        <v>0.29</v>
      </c>
      <c r="J90" t="n">
        <v>6.96</v>
      </c>
      <c r="K90" t="n">
        <v>0.114</v>
      </c>
      <c r="L90" t="n">
        <v>0.486</v>
      </c>
      <c r="M90" t="n">
        <v>73</v>
      </c>
      <c r="N90" t="inlineStr">
        <is>
          <t>30:50</t>
        </is>
      </c>
      <c r="O90" t="n">
        <v>15.5</v>
      </c>
      <c r="P90" t="n">
        <v>-0.11</v>
      </c>
      <c r="Q90" t="n">
        <v>5.03</v>
      </c>
      <c r="R90" t="n">
        <v>0.151</v>
      </c>
      <c r="S90" t="n">
        <v>0.349</v>
      </c>
      <c r="T90" t="n">
        <v>48</v>
      </c>
      <c r="U90" t="n">
        <v>0.3</v>
      </c>
      <c r="V90" t="inlineStr">
        <is>
          <t>3/3</t>
        </is>
      </c>
      <c r="W90" t="n">
        <v>48.6</v>
      </c>
      <c r="X90" t="n">
        <v>6.5</v>
      </c>
      <c r="Y90" t="n">
        <v>8.699999999999999</v>
      </c>
      <c r="Z90" t="n">
        <v>2</v>
      </c>
      <c r="AA90" t="n">
        <v>10.6</v>
      </c>
    </row>
    <row r="91">
      <c r="A91" t="inlineStr">
        <is>
          <t>Oregon State</t>
        </is>
      </c>
      <c r="B91" t="n">
        <v>3</v>
      </c>
      <c r="C91" t="n">
        <v>635.79</v>
      </c>
      <c r="D91">
        <f>IFERROR(INDEX('Power Ratings'!$L$2:$L$139,MATCH($A91,'Power Ratings'!$B$2:$B$139,0)),"")</f>
        <v/>
      </c>
      <c r="E91" t="n">
        <v>-2.235</v>
      </c>
      <c r="F91" t="n">
        <v>-2.5</v>
      </c>
      <c r="G91" t="n">
        <v>3</v>
      </c>
      <c r="H91" t="n">
        <v>23.8</v>
      </c>
      <c r="I91" t="n">
        <v>0.24</v>
      </c>
      <c r="J91" t="n">
        <v>6.53</v>
      </c>
      <c r="K91" t="n">
        <v>0.14</v>
      </c>
      <c r="L91" t="n">
        <v>0.402</v>
      </c>
      <c r="M91" t="n">
        <v>68</v>
      </c>
      <c r="N91" t="inlineStr">
        <is>
          <t>29:34</t>
        </is>
      </c>
      <c r="O91" t="n">
        <v>25.6</v>
      </c>
      <c r="P91" t="n">
        <v>0.18</v>
      </c>
      <c r="Q91" t="n">
        <v>5.61</v>
      </c>
      <c r="R91" t="n">
        <v>0.161</v>
      </c>
      <c r="S91" t="n">
        <v>0.435</v>
      </c>
      <c r="T91" t="n">
        <v>68</v>
      </c>
      <c r="U91" t="n">
        <v>-0.6</v>
      </c>
      <c r="V91" t="inlineStr">
        <is>
          <t>2/4</t>
        </is>
      </c>
      <c r="W91" t="n">
        <v>41.7</v>
      </c>
      <c r="X91" t="n">
        <v>9.199999999999999</v>
      </c>
      <c r="Y91" t="n">
        <v>20</v>
      </c>
      <c r="Z91" t="n">
        <v>6.3</v>
      </c>
      <c r="AA91" t="n">
        <v>22.8</v>
      </c>
    </row>
    <row r="92">
      <c r="A92" t="inlineStr">
        <is>
          <t>Penn State</t>
        </is>
      </c>
      <c r="B92" t="n">
        <v>3</v>
      </c>
      <c r="C92" t="n">
        <v>774.04</v>
      </c>
      <c r="D92">
        <f>IFERROR(INDEX('Power Ratings'!$L$2:$L$139,MATCH($A92,'Power Ratings'!$B$2:$B$139,0)),"")</f>
        <v/>
      </c>
      <c r="E92" t="n">
        <v>18.196</v>
      </c>
      <c r="F92" t="n">
        <v>19.1</v>
      </c>
      <c r="G92" t="n">
        <v>5</v>
      </c>
      <c r="H92" t="n">
        <v>35.2</v>
      </c>
      <c r="I92" t="n">
        <v>0.35</v>
      </c>
      <c r="J92" t="n">
        <v>7.38</v>
      </c>
      <c r="K92" t="n">
        <v>0.08699999999999999</v>
      </c>
      <c r="L92" t="n">
        <v>0.473</v>
      </c>
      <c r="M92" t="n">
        <v>73</v>
      </c>
      <c r="N92" t="inlineStr">
        <is>
          <t>32:08</t>
        </is>
      </c>
      <c r="O92" t="n">
        <v>16.6</v>
      </c>
      <c r="P92" t="n">
        <v>-0.13</v>
      </c>
      <c r="Q92" t="n">
        <v>3.51</v>
      </c>
      <c r="R92" t="n">
        <v>0.189</v>
      </c>
      <c r="S92" t="n">
        <v>0.297</v>
      </c>
      <c r="T92" t="n">
        <v>38</v>
      </c>
      <c r="U92" t="n">
        <v>0.5</v>
      </c>
      <c r="V92" t="inlineStr">
        <is>
          <t>5/6</t>
        </is>
      </c>
      <c r="W92" t="n">
        <v>41.1</v>
      </c>
      <c r="X92" t="n">
        <v>13.2</v>
      </c>
      <c r="Y92" t="n">
        <v>17</v>
      </c>
      <c r="AA92" t="n">
        <v>15.6</v>
      </c>
    </row>
    <row r="93">
      <c r="A93" t="inlineStr">
        <is>
          <t>Pittsburgh</t>
        </is>
      </c>
      <c r="B93" t="n">
        <v>3</v>
      </c>
      <c r="C93" t="n">
        <v>675.02</v>
      </c>
      <c r="D93">
        <f>IFERROR(INDEX('Power Ratings'!$L$2:$L$139,MATCH($A93,'Power Ratings'!$B$2:$B$139,0)),"")</f>
        <v/>
      </c>
      <c r="E93" t="n">
        <v>12.341</v>
      </c>
      <c r="F93" t="n">
        <v>10.4</v>
      </c>
      <c r="G93" t="n">
        <v>2</v>
      </c>
      <c r="H93" t="n">
        <v>31</v>
      </c>
      <c r="I93" t="n">
        <v>0.18</v>
      </c>
      <c r="J93" t="n">
        <v>6.42</v>
      </c>
      <c r="K93" t="n">
        <v>0.11</v>
      </c>
      <c r="L93" t="n">
        <v>0.459</v>
      </c>
      <c r="M93" t="n">
        <v>70</v>
      </c>
      <c r="N93" t="inlineStr">
        <is>
          <t>32:19</t>
        </is>
      </c>
      <c r="O93" t="n">
        <v>20.7</v>
      </c>
      <c r="P93" t="n">
        <v>-0.08</v>
      </c>
      <c r="Q93" t="n">
        <v>4.65</v>
      </c>
      <c r="R93" t="n">
        <v>0.172</v>
      </c>
      <c r="S93" t="n">
        <v>0.323</v>
      </c>
      <c r="T93" t="n">
        <v>46</v>
      </c>
      <c r="U93" t="n">
        <v>0.1</v>
      </c>
      <c r="V93" t="inlineStr">
        <is>
          <t>4/4</t>
        </is>
      </c>
      <c r="W93" t="n">
        <v>44.4</v>
      </c>
      <c r="X93" t="n">
        <v>6.4</v>
      </c>
      <c r="Y93" t="n">
        <v>18</v>
      </c>
      <c r="Z93" t="n">
        <v>5.7</v>
      </c>
      <c r="AA93" t="n">
        <v>24.5</v>
      </c>
    </row>
    <row r="94">
      <c r="A94" t="inlineStr">
        <is>
          <t>Purdue</t>
        </is>
      </c>
      <c r="B94" t="n">
        <v>3</v>
      </c>
      <c r="C94" t="n">
        <v>698.33</v>
      </c>
      <c r="D94">
        <f>IFERROR(INDEX('Power Ratings'!$L$2:$L$139,MATCH($A94,'Power Ratings'!$B$2:$B$139,0)),"")</f>
        <v/>
      </c>
      <c r="E94" t="n">
        <v>-1.585</v>
      </c>
      <c r="F94" t="n">
        <v>-2.1</v>
      </c>
      <c r="G94" t="n">
        <v>-2</v>
      </c>
      <c r="H94" t="n">
        <v>27.4</v>
      </c>
      <c r="I94" t="n">
        <v>0.33</v>
      </c>
      <c r="J94" t="n">
        <v>6.82</v>
      </c>
      <c r="K94" t="n">
        <v>0.115</v>
      </c>
      <c r="L94" t="n">
        <v>0.493</v>
      </c>
      <c r="M94" t="n">
        <v>80</v>
      </c>
      <c r="N94" t="inlineStr">
        <is>
          <t>31:08</t>
        </is>
      </c>
      <c r="O94" t="n">
        <v>30</v>
      </c>
      <c r="P94" t="n">
        <v>0.34</v>
      </c>
      <c r="Q94" t="n">
        <v>6.91</v>
      </c>
      <c r="R94" t="n">
        <v>0.141</v>
      </c>
      <c r="S94" t="n">
        <v>0.48</v>
      </c>
      <c r="T94" t="n">
        <v>72</v>
      </c>
      <c r="U94" t="n">
        <v>0.5</v>
      </c>
      <c r="V94" t="inlineStr">
        <is>
          <t>7/8</t>
        </is>
      </c>
      <c r="W94" t="n">
        <v>45.4</v>
      </c>
      <c r="X94" t="n">
        <v>6.6</v>
      </c>
      <c r="Y94" t="n">
        <v>21</v>
      </c>
      <c r="Z94" t="n">
        <v>5</v>
      </c>
      <c r="AA94" t="n">
        <v>19.3</v>
      </c>
    </row>
    <row r="95">
      <c r="A95" t="inlineStr">
        <is>
          <t>Rice</t>
        </is>
      </c>
      <c r="B95" t="n">
        <v>3</v>
      </c>
      <c r="C95" t="n">
        <v>589.89</v>
      </c>
      <c r="D95">
        <f>IFERROR(INDEX('Power Ratings'!$L$2:$L$139,MATCH($A95,'Power Ratings'!$B$2:$B$139,0)),"")</f>
        <v/>
      </c>
      <c r="E95" t="n">
        <v>-13.481</v>
      </c>
      <c r="F95" t="n">
        <v>-14.9</v>
      </c>
      <c r="G95" t="n">
        <v>-2</v>
      </c>
      <c r="H95" t="n">
        <v>16.9</v>
      </c>
      <c r="I95" t="n">
        <v>0.03</v>
      </c>
      <c r="J95" t="n">
        <v>5.06</v>
      </c>
      <c r="K95" t="n">
        <v>0.12</v>
      </c>
      <c r="L95" t="n">
        <v>0.424</v>
      </c>
      <c r="M95" t="n">
        <v>54</v>
      </c>
      <c r="N95" t="inlineStr">
        <is>
          <t>31:27</t>
        </is>
      </c>
      <c r="O95" t="n">
        <v>32.1</v>
      </c>
      <c r="P95" t="n">
        <v>0.1</v>
      </c>
      <c r="Q95" t="n">
        <v>5.67</v>
      </c>
      <c r="R95" t="n">
        <v>0.152</v>
      </c>
      <c r="S95" t="n">
        <v>0.429</v>
      </c>
      <c r="T95" t="n">
        <v>54</v>
      </c>
      <c r="U95" t="n">
        <v>0.3</v>
      </c>
      <c r="V95" t="inlineStr">
        <is>
          <t>1/3</t>
        </is>
      </c>
      <c r="W95" t="n">
        <v>45.8</v>
      </c>
      <c r="Y95" t="n">
        <v>10.6</v>
      </c>
      <c r="Z95" t="n">
        <v>6.4</v>
      </c>
      <c r="AA95" t="n">
        <v>17.2</v>
      </c>
    </row>
    <row r="96">
      <c r="A96" t="inlineStr">
        <is>
          <t>Rutgers</t>
        </is>
      </c>
      <c r="B96" t="n">
        <v>3</v>
      </c>
      <c r="C96" t="n">
        <v>709.04</v>
      </c>
      <c r="D96">
        <f>IFERROR(INDEX('Power Ratings'!$L$2:$L$139,MATCH($A96,'Power Ratings'!$B$2:$B$139,0)),"")</f>
        <v/>
      </c>
      <c r="E96" t="n">
        <v>-5.565</v>
      </c>
      <c r="F96" t="n">
        <v>-2.4</v>
      </c>
      <c r="G96" t="n">
        <v>-7</v>
      </c>
      <c r="H96" t="n">
        <v>29.1</v>
      </c>
      <c r="I96" t="n">
        <v>0.03</v>
      </c>
      <c r="J96" t="n">
        <v>5.96</v>
      </c>
      <c r="K96" t="n">
        <v>0.184</v>
      </c>
      <c r="L96" t="n">
        <v>0.443</v>
      </c>
      <c r="M96" t="n">
        <v>64</v>
      </c>
      <c r="N96" t="inlineStr">
        <is>
          <t>30:29</t>
        </is>
      </c>
      <c r="O96" t="n">
        <v>31.6</v>
      </c>
      <c r="P96" t="n">
        <v>0.22</v>
      </c>
      <c r="Q96" t="n">
        <v>6.74</v>
      </c>
      <c r="R96" t="n">
        <v>0.08799999999999999</v>
      </c>
      <c r="S96" t="n">
        <v>0.472</v>
      </c>
      <c r="T96" t="n">
        <v>63</v>
      </c>
      <c r="U96" t="n">
        <v>0.1</v>
      </c>
      <c r="W96" t="n">
        <v>48.3</v>
      </c>
      <c r="X96" t="n">
        <v>12</v>
      </c>
      <c r="Y96" t="n">
        <v>17</v>
      </c>
      <c r="AA96" t="n">
        <v>8</v>
      </c>
    </row>
    <row r="97">
      <c r="A97" t="inlineStr">
        <is>
          <t>SMU</t>
        </is>
      </c>
      <c r="B97" t="n">
        <v>3</v>
      </c>
      <c r="C97" t="n">
        <v>764.5</v>
      </c>
      <c r="D97">
        <f>IFERROR(INDEX('Power Ratings'!$L$2:$L$139,MATCH($A97,'Power Ratings'!$B$2:$B$139,0)),"")</f>
        <v/>
      </c>
      <c r="E97" t="n">
        <v>12.209</v>
      </c>
      <c r="F97" t="n">
        <v>12</v>
      </c>
      <c r="G97" t="n">
        <v>-4</v>
      </c>
      <c r="H97" t="n">
        <v>33.9</v>
      </c>
      <c r="I97" t="n">
        <v>0.27</v>
      </c>
      <c r="J97" t="n">
        <v>7.94</v>
      </c>
      <c r="K97" t="n">
        <v>0.132</v>
      </c>
      <c r="L97" t="n">
        <v>0.505</v>
      </c>
      <c r="M97" t="n">
        <v>70</v>
      </c>
      <c r="N97" t="inlineStr">
        <is>
          <t>29:00</t>
        </is>
      </c>
      <c r="O97" t="n">
        <v>21.5</v>
      </c>
      <c r="P97" t="n">
        <v>0.07000000000000001</v>
      </c>
      <c r="Q97" t="n">
        <v>5.31</v>
      </c>
      <c r="R97" t="n">
        <v>0.182</v>
      </c>
      <c r="S97" t="n">
        <v>0.38</v>
      </c>
      <c r="T97" t="n">
        <v>50</v>
      </c>
      <c r="U97" t="n">
        <v>-0.4</v>
      </c>
      <c r="V97" t="inlineStr">
        <is>
          <t>3/5</t>
        </is>
      </c>
      <c r="W97" t="n">
        <v>42.1</v>
      </c>
      <c r="X97" t="n">
        <v>4.3</v>
      </c>
      <c r="Y97" t="n">
        <v>19</v>
      </c>
      <c r="Z97" t="n">
        <v>13.7</v>
      </c>
      <c r="AA97" t="n">
        <v>29</v>
      </c>
    </row>
    <row r="98">
      <c r="A98" t="inlineStr">
        <is>
          <t>Sacramento State</t>
        </is>
      </c>
      <c r="B98" t="n">
        <v>4</v>
      </c>
      <c r="C98" t="n">
        <v>561.42</v>
      </c>
      <c r="D98">
        <f>IFERROR(INDEX('Power Ratings'!$L$2:$L$139,MATCH($A98,'Power Ratings'!$B$2:$B$139,0)),"")</f>
        <v/>
      </c>
      <c r="E98" t="n">
        <v>-25.086</v>
      </c>
      <c r="F98" t="n">
        <v>-20.9</v>
      </c>
      <c r="G98" t="n">
        <v>-6</v>
      </c>
      <c r="H98" t="n">
        <v>13.8</v>
      </c>
      <c r="I98" t="n">
        <v>-0.04</v>
      </c>
      <c r="J98" t="n">
        <v>4.95</v>
      </c>
      <c r="K98" t="n">
        <v>0.178</v>
      </c>
      <c r="L98" t="n">
        <v>0.411</v>
      </c>
      <c r="M98" t="n">
        <v>75</v>
      </c>
      <c r="N98" t="inlineStr">
        <is>
          <t>29:44</t>
        </is>
      </c>
      <c r="O98" t="n">
        <v>34.6</v>
      </c>
      <c r="P98" t="n">
        <v>0.1</v>
      </c>
      <c r="Q98" t="n">
        <v>5.76</v>
      </c>
      <c r="R98" t="n">
        <v>0.133</v>
      </c>
      <c r="S98" t="n">
        <v>0.353</v>
      </c>
      <c r="T98" t="n">
        <v>70</v>
      </c>
      <c r="U98" t="n">
        <v>-0.1</v>
      </c>
      <c r="V98" t="inlineStr">
        <is>
          <t>4/5</t>
        </is>
      </c>
      <c r="W98" t="n">
        <v>40.2</v>
      </c>
      <c r="X98" t="n">
        <v>7</v>
      </c>
      <c r="Y98" t="n">
        <v>17</v>
      </c>
      <c r="Z98" t="n">
        <v>2.5</v>
      </c>
      <c r="AA98" t="n">
        <v>13.3</v>
      </c>
    </row>
    <row r="99">
      <c r="A99" t="inlineStr">
        <is>
          <t>Sam Houston</t>
        </is>
      </c>
      <c r="B99" t="n">
        <v>3</v>
      </c>
      <c r="C99" t="n">
        <v>554.47</v>
      </c>
      <c r="D99">
        <f>IFERROR(INDEX('Power Ratings'!$L$2:$L$139,MATCH($A99,'Power Ratings'!$B$2:$B$139,0)),"")</f>
        <v/>
      </c>
      <c r="E99" t="n">
        <v>-8.897</v>
      </c>
      <c r="F99" t="n">
        <v>-16.3</v>
      </c>
      <c r="G99" t="n">
        <v>1</v>
      </c>
      <c r="H99" t="n">
        <v>18.3</v>
      </c>
      <c r="I99" t="n">
        <v>0.22</v>
      </c>
      <c r="J99" t="n">
        <v>6.46</v>
      </c>
      <c r="K99" t="n">
        <v>0.155</v>
      </c>
      <c r="L99" t="n">
        <v>0.479</v>
      </c>
      <c r="M99" t="n">
        <v>67</v>
      </c>
      <c r="N99" t="inlineStr">
        <is>
          <t>32:01</t>
        </is>
      </c>
      <c r="O99" t="n">
        <v>34.2</v>
      </c>
      <c r="P99" t="n">
        <v>-0.03</v>
      </c>
      <c r="Q99" t="n">
        <v>4.4</v>
      </c>
      <c r="R99" t="n">
        <v>0.222</v>
      </c>
      <c r="S99" t="n">
        <v>0.298</v>
      </c>
      <c r="T99" t="n">
        <v>46</v>
      </c>
      <c r="U99" t="n">
        <v>-0.4</v>
      </c>
      <c r="V99" t="inlineStr">
        <is>
          <t>2/3</t>
        </is>
      </c>
      <c r="W99" t="n">
        <v>42.9</v>
      </c>
      <c r="X99" t="n">
        <v>4.5</v>
      </c>
      <c r="Y99" t="n">
        <v>19.4</v>
      </c>
      <c r="Z99" t="n">
        <v>0</v>
      </c>
      <c r="AA99" t="n">
        <v>15.1</v>
      </c>
    </row>
    <row r="100">
      <c r="A100" t="inlineStr">
        <is>
          <t>San Diego State</t>
        </is>
      </c>
      <c r="B100" t="n">
        <v>3</v>
      </c>
      <c r="C100" t="n">
        <v>609.22</v>
      </c>
      <c r="D100">
        <f>IFERROR(INDEX('Power Ratings'!$L$2:$L$139,MATCH($A100,'Power Ratings'!$B$2:$B$139,0)),"")</f>
        <v/>
      </c>
      <c r="E100" t="n">
        <v>-3.285</v>
      </c>
      <c r="F100" t="n">
        <v>-2.5</v>
      </c>
      <c r="G100" t="n">
        <v>-1</v>
      </c>
      <c r="H100" t="n">
        <v>22.4</v>
      </c>
      <c r="I100" t="n">
        <v>-0.06</v>
      </c>
      <c r="J100" t="n">
        <v>5.02</v>
      </c>
      <c r="K100" t="n">
        <v>0.171</v>
      </c>
      <c r="L100" t="n">
        <v>0.362</v>
      </c>
      <c r="M100" t="n">
        <v>57</v>
      </c>
      <c r="N100" t="inlineStr">
        <is>
          <t>27:07</t>
        </is>
      </c>
      <c r="O100" t="n">
        <v>25.5</v>
      </c>
      <c r="P100" t="n">
        <v>0.06</v>
      </c>
      <c r="Q100" t="n">
        <v>5.21</v>
      </c>
      <c r="R100" t="n">
        <v>0.103</v>
      </c>
      <c r="S100" t="n">
        <v>0.435</v>
      </c>
      <c r="T100" t="n">
        <v>60</v>
      </c>
      <c r="U100" t="n">
        <v>0.6</v>
      </c>
      <c r="V100" t="inlineStr">
        <is>
          <t>2/2</t>
        </is>
      </c>
      <c r="W100" t="n">
        <v>47.9</v>
      </c>
      <c r="X100" t="n">
        <v>5</v>
      </c>
      <c r="Y100" t="n">
        <v>32.9</v>
      </c>
      <c r="Z100" t="n">
        <v>11.6</v>
      </c>
      <c r="AA100" t="n">
        <v>22</v>
      </c>
    </row>
    <row r="101">
      <c r="A101" t="inlineStr">
        <is>
          <t>San Jose State</t>
        </is>
      </c>
      <c r="B101" t="n">
        <v>4</v>
      </c>
      <c r="C101" t="n">
        <v>569.25</v>
      </c>
      <c r="D101">
        <f>IFERROR(INDEX('Power Ratings'!$L$2:$L$139,MATCH($A101,'Power Ratings'!$B$2:$B$139,0)),"")</f>
        <v/>
      </c>
      <c r="E101" t="n">
        <v>-13.171</v>
      </c>
      <c r="F101" t="n">
        <v>-13.9</v>
      </c>
      <c r="G101" t="n">
        <v>-3</v>
      </c>
      <c r="H101" t="n">
        <v>17.1</v>
      </c>
      <c r="I101" t="n">
        <v>0.08</v>
      </c>
      <c r="J101" t="n">
        <v>5.75</v>
      </c>
      <c r="K101" t="n">
        <v>0.152</v>
      </c>
      <c r="L101" t="n">
        <v>0.396</v>
      </c>
      <c r="M101" t="n">
        <v>78</v>
      </c>
      <c r="N101" t="inlineStr">
        <is>
          <t>27:27</t>
        </is>
      </c>
      <c r="O101" t="n">
        <v>30.8</v>
      </c>
      <c r="P101" t="n">
        <v>0.07000000000000001</v>
      </c>
      <c r="Q101" t="n">
        <v>5.27</v>
      </c>
      <c r="R101" t="n">
        <v>0.136</v>
      </c>
      <c r="S101" t="n">
        <v>0.436</v>
      </c>
      <c r="T101" t="n">
        <v>78</v>
      </c>
      <c r="U101" t="n">
        <v>-0.2</v>
      </c>
      <c r="V101" t="inlineStr">
        <is>
          <t>7/9</t>
        </is>
      </c>
      <c r="W101" t="n">
        <v>42.5</v>
      </c>
      <c r="X101" t="n">
        <v>8.9</v>
      </c>
      <c r="Y101" t="n">
        <v>25</v>
      </c>
      <c r="Z101" t="n">
        <v>19.4</v>
      </c>
      <c r="AA101" t="n">
        <v>20.8</v>
      </c>
    </row>
    <row r="102">
      <c r="A102" t="inlineStr">
        <is>
          <t>South Alabama</t>
        </is>
      </c>
      <c r="B102" t="n">
        <v>3</v>
      </c>
      <c r="C102" t="n">
        <v>573.38</v>
      </c>
      <c r="D102">
        <f>IFERROR(INDEX('Power Ratings'!$L$2:$L$139,MATCH($A102,'Power Ratings'!$B$2:$B$139,0)),"")</f>
        <v/>
      </c>
      <c r="E102" t="n">
        <v>-7.349</v>
      </c>
      <c r="F102" t="n">
        <v>-12.1</v>
      </c>
      <c r="G102" t="n">
        <v>4</v>
      </c>
      <c r="H102" t="n">
        <v>24.2</v>
      </c>
      <c r="I102" t="n">
        <v>0.24</v>
      </c>
      <c r="J102" t="n">
        <v>5.84</v>
      </c>
      <c r="K102" t="n">
        <v>0.137</v>
      </c>
      <c r="L102" t="n">
        <v>0.438</v>
      </c>
      <c r="M102" t="n">
        <v>73</v>
      </c>
      <c r="N102" t="inlineStr">
        <is>
          <t>36:46</t>
        </is>
      </c>
      <c r="O102" t="n">
        <v>35.7</v>
      </c>
      <c r="P102" t="n">
        <v>0.25</v>
      </c>
      <c r="Q102" t="n">
        <v>7.09</v>
      </c>
      <c r="R102" t="n">
        <v>0.208</v>
      </c>
      <c r="S102" t="n">
        <v>0.43</v>
      </c>
      <c r="T102" t="n">
        <v>46</v>
      </c>
      <c r="U102" t="n">
        <v>-0.6</v>
      </c>
      <c r="V102" t="inlineStr">
        <is>
          <t>6/7</t>
        </is>
      </c>
      <c r="W102" t="n">
        <v>39</v>
      </c>
      <c r="Y102" t="n">
        <v>20.8</v>
      </c>
      <c r="Z102" t="n">
        <v>3</v>
      </c>
      <c r="AA102" t="n">
        <v>19.1</v>
      </c>
    </row>
    <row r="103">
      <c r="A103" t="inlineStr">
        <is>
          <t>South Carolina</t>
        </is>
      </c>
      <c r="B103" t="n">
        <v>3</v>
      </c>
      <c r="C103" t="n">
        <v>862.87</v>
      </c>
      <c r="D103">
        <f>IFERROR(INDEX('Power Ratings'!$L$2:$L$139,MATCH($A103,'Power Ratings'!$B$2:$B$139,0)),"")</f>
        <v/>
      </c>
      <c r="E103" t="n">
        <v>12.125</v>
      </c>
      <c r="F103" t="n">
        <v>13</v>
      </c>
      <c r="G103" t="n">
        <v>-2</v>
      </c>
      <c r="H103" t="n">
        <v>31.7</v>
      </c>
      <c r="I103" t="n">
        <v>0.33</v>
      </c>
      <c r="J103" t="n">
        <v>7.24</v>
      </c>
      <c r="K103" t="n">
        <v>0.122</v>
      </c>
      <c r="L103" t="n">
        <v>0.516</v>
      </c>
      <c r="M103" t="n">
        <v>78</v>
      </c>
      <c r="N103" t="inlineStr">
        <is>
          <t>31:43</t>
        </is>
      </c>
      <c r="O103" t="n">
        <v>19.3</v>
      </c>
      <c r="P103" t="n">
        <v>0.04</v>
      </c>
      <c r="Q103" t="n">
        <v>4.51</v>
      </c>
      <c r="R103" t="n">
        <v>0.135</v>
      </c>
      <c r="S103" t="n">
        <v>0.326</v>
      </c>
      <c r="T103" t="n">
        <v>41</v>
      </c>
      <c r="U103" t="n">
        <v>0.5</v>
      </c>
      <c r="V103" t="inlineStr">
        <is>
          <t>5/6</t>
        </is>
      </c>
      <c r="W103" t="n">
        <v>41.7</v>
      </c>
      <c r="X103" t="n">
        <v>23</v>
      </c>
      <c r="Y103" t="n">
        <v>21.3</v>
      </c>
      <c r="AA103" t="n">
        <v>9</v>
      </c>
    </row>
    <row r="104">
      <c r="A104" t="inlineStr">
        <is>
          <t>South Florida</t>
        </is>
      </c>
      <c r="B104" t="n">
        <v>3</v>
      </c>
      <c r="C104" t="n">
        <v>703.8099999999999</v>
      </c>
      <c r="D104">
        <f>IFERROR(INDEX('Power Ratings'!$L$2:$L$139,MATCH($A104,'Power Ratings'!$B$2:$B$139,0)),"")</f>
        <v/>
      </c>
      <c r="E104" t="n">
        <v>0.776</v>
      </c>
      <c r="F104" t="n">
        <v>1.9</v>
      </c>
      <c r="G104" t="n">
        <v>4</v>
      </c>
      <c r="H104" t="n">
        <v>30.1</v>
      </c>
      <c r="I104" t="n">
        <v>0.34</v>
      </c>
      <c r="J104" t="n">
        <v>6.71</v>
      </c>
      <c r="K104" t="n">
        <v>0.1</v>
      </c>
      <c r="L104" t="n">
        <v>0.533</v>
      </c>
      <c r="M104" t="n">
        <v>68</v>
      </c>
      <c r="N104" t="inlineStr">
        <is>
          <t>27:41</t>
        </is>
      </c>
      <c r="O104" t="n">
        <v>28.1</v>
      </c>
      <c r="P104" t="n">
        <v>0.04</v>
      </c>
      <c r="Q104" t="n">
        <v>5.54</v>
      </c>
      <c r="R104" t="n">
        <v>0.171</v>
      </c>
      <c r="S104" t="n">
        <v>0.437</v>
      </c>
      <c r="T104" t="n">
        <v>57</v>
      </c>
      <c r="U104" t="n">
        <v>-0.1</v>
      </c>
      <c r="V104" t="inlineStr">
        <is>
          <t>5/5</t>
        </is>
      </c>
      <c r="W104" t="n">
        <v>45.4</v>
      </c>
      <c r="X104" t="n">
        <v>9</v>
      </c>
      <c r="Y104" t="n">
        <v>22</v>
      </c>
      <c r="Z104" t="n">
        <v>6.7</v>
      </c>
      <c r="AA104" t="n">
        <v>10.7</v>
      </c>
    </row>
    <row r="105">
      <c r="A105" t="inlineStr">
        <is>
          <t>Southern Miss</t>
        </is>
      </c>
      <c r="B105" t="n">
        <v>3</v>
      </c>
      <c r="C105" t="n">
        <v>602.63</v>
      </c>
      <c r="D105">
        <f>IFERROR(INDEX('Power Ratings'!$L$2:$L$139,MATCH($A105,'Power Ratings'!$B$2:$B$139,0)),"")</f>
        <v/>
      </c>
      <c r="E105" t="n">
        <v>-13.109</v>
      </c>
      <c r="F105" t="n">
        <v>-19.1</v>
      </c>
      <c r="G105" t="n">
        <v>1</v>
      </c>
      <c r="H105" t="n">
        <v>19.1</v>
      </c>
      <c r="I105" t="n">
        <v>0.01</v>
      </c>
      <c r="J105" t="n">
        <v>5.3</v>
      </c>
      <c r="K105" t="n">
        <v>0.158</v>
      </c>
      <c r="L105" t="n">
        <v>0.45</v>
      </c>
      <c r="M105" t="n">
        <v>65</v>
      </c>
      <c r="N105" t="inlineStr">
        <is>
          <t>28:09</t>
        </is>
      </c>
      <c r="O105" t="n">
        <v>37.8</v>
      </c>
      <c r="P105" t="n">
        <v>0.12</v>
      </c>
      <c r="Q105" t="n">
        <v>5.96</v>
      </c>
      <c r="R105" t="n">
        <v>0.132</v>
      </c>
      <c r="S105" t="n">
        <v>0.425</v>
      </c>
      <c r="T105" t="n">
        <v>66</v>
      </c>
      <c r="U105" t="n">
        <v>-0.4</v>
      </c>
      <c r="V105" t="inlineStr">
        <is>
          <t>2/3</t>
        </is>
      </c>
      <c r="W105" t="n">
        <v>39</v>
      </c>
      <c r="X105" t="n">
        <v>11</v>
      </c>
      <c r="Y105" t="n">
        <v>27</v>
      </c>
      <c r="Z105" t="n">
        <v>-0.2</v>
      </c>
      <c r="AA105" t="n">
        <v>20</v>
      </c>
    </row>
    <row r="106">
      <c r="A106" t="inlineStr">
        <is>
          <t>Stanford</t>
        </is>
      </c>
      <c r="B106" t="n">
        <v>3</v>
      </c>
      <c r="C106" t="n">
        <v>705.8099999999999</v>
      </c>
      <c r="D106">
        <f>IFERROR(INDEX('Power Ratings'!$L$2:$L$139,MATCH($A106,'Power Ratings'!$B$2:$B$139,0)),"")</f>
        <v/>
      </c>
      <c r="E106" t="n">
        <v>-7.894</v>
      </c>
      <c r="F106" t="n">
        <v>-7.4</v>
      </c>
      <c r="G106" t="n">
        <v>3</v>
      </c>
      <c r="H106" t="n">
        <v>20.8</v>
      </c>
      <c r="I106" t="n">
        <v>0.08</v>
      </c>
      <c r="J106" t="n">
        <v>5.25</v>
      </c>
      <c r="K106" t="n">
        <v>0.126</v>
      </c>
      <c r="L106" t="n">
        <v>0.382</v>
      </c>
      <c r="M106" t="n">
        <v>53</v>
      </c>
      <c r="N106" t="inlineStr">
        <is>
          <t>25:42</t>
        </is>
      </c>
      <c r="O106" t="n">
        <v>27.8</v>
      </c>
      <c r="P106" t="n">
        <v>0.3</v>
      </c>
      <c r="Q106" t="n">
        <v>6.33</v>
      </c>
      <c r="R106" t="n">
        <v>0.115</v>
      </c>
      <c r="S106" t="n">
        <v>0.461</v>
      </c>
      <c r="T106" t="n">
        <v>68</v>
      </c>
      <c r="U106" t="n">
        <v>-0.5</v>
      </c>
      <c r="V106" t="inlineStr">
        <is>
          <t>2/3</t>
        </is>
      </c>
      <c r="W106" t="n">
        <v>42.1</v>
      </c>
      <c r="X106" t="n">
        <v>5.8</v>
      </c>
      <c r="Y106" t="n">
        <v>20.2</v>
      </c>
      <c r="Z106" t="n">
        <v>4.2</v>
      </c>
      <c r="AA106" t="n">
        <v>22.5</v>
      </c>
    </row>
    <row r="107">
      <c r="A107" t="inlineStr">
        <is>
          <t>Syracuse</t>
        </is>
      </c>
      <c r="B107" t="n">
        <v>3</v>
      </c>
      <c r="C107" t="n">
        <v>745.61</v>
      </c>
      <c r="D107">
        <f>IFERROR(INDEX('Power Ratings'!$L$2:$L$139,MATCH($A107,'Power Ratings'!$B$2:$B$139,0)),"")</f>
        <v/>
      </c>
      <c r="E107" t="n">
        <v>0.5570000000000001</v>
      </c>
      <c r="F107" t="n">
        <v>-0.2</v>
      </c>
      <c r="G107" t="n">
        <v>-1</v>
      </c>
      <c r="H107" t="n">
        <v>23.4</v>
      </c>
      <c r="I107" t="n">
        <v>0.04</v>
      </c>
      <c r="J107" t="n">
        <v>5.56</v>
      </c>
      <c r="K107" t="n">
        <v>0.126</v>
      </c>
      <c r="L107" t="n">
        <v>0.399</v>
      </c>
      <c r="M107" t="n">
        <v>82</v>
      </c>
      <c r="N107" t="inlineStr">
        <is>
          <t>33:19</t>
        </is>
      </c>
      <c r="O107" t="n">
        <v>23.8</v>
      </c>
      <c r="P107" t="n">
        <v>-0.13</v>
      </c>
      <c r="Q107" t="n">
        <v>4.31</v>
      </c>
      <c r="R107" t="n">
        <v>0.186</v>
      </c>
      <c r="S107" t="n">
        <v>0.361</v>
      </c>
      <c r="T107" t="n">
        <v>50</v>
      </c>
      <c r="U107" t="n">
        <v>0.3</v>
      </c>
      <c r="V107" t="inlineStr">
        <is>
          <t>5/8</t>
        </is>
      </c>
      <c r="W107" t="n">
        <v>39.5</v>
      </c>
      <c r="X107" t="n">
        <v>16.5</v>
      </c>
      <c r="Y107" t="n">
        <v>18.7</v>
      </c>
      <c r="Z107" t="n">
        <v>2</v>
      </c>
      <c r="AA107" t="n">
        <v>16.8</v>
      </c>
    </row>
    <row r="108">
      <c r="A108" t="inlineStr">
        <is>
          <t>TCU</t>
        </is>
      </c>
      <c r="B108" t="n">
        <v>3</v>
      </c>
      <c r="C108" t="n">
        <v>730.79</v>
      </c>
      <c r="D108">
        <f>IFERROR(INDEX('Power Ratings'!$L$2:$L$139,MATCH($A108,'Power Ratings'!$B$2:$B$139,0)),"")</f>
        <v/>
      </c>
      <c r="E108" t="n">
        <v>7.237</v>
      </c>
      <c r="F108" t="n">
        <v>11.2</v>
      </c>
      <c r="G108" t="n">
        <v>1</v>
      </c>
      <c r="H108" t="n">
        <v>31.4</v>
      </c>
      <c r="I108" t="n">
        <v>0.25</v>
      </c>
      <c r="J108" t="n">
        <v>6.85</v>
      </c>
      <c r="K108" t="n">
        <v>0.109</v>
      </c>
      <c r="L108" t="n">
        <v>0.493</v>
      </c>
      <c r="M108" t="n">
        <v>72</v>
      </c>
      <c r="N108" t="inlineStr">
        <is>
          <t>32:23</t>
        </is>
      </c>
      <c r="O108" t="n">
        <v>20.1</v>
      </c>
      <c r="P108" t="n">
        <v>-0.14</v>
      </c>
      <c r="Q108" t="n">
        <v>4.84</v>
      </c>
      <c r="R108" t="n">
        <v>0.202</v>
      </c>
      <c r="S108" t="n">
        <v>0.339</v>
      </c>
      <c r="T108" t="n">
        <v>38</v>
      </c>
      <c r="U108" t="n">
        <v>-0.2</v>
      </c>
      <c r="V108" t="inlineStr">
        <is>
          <t>2/2</t>
        </is>
      </c>
      <c r="W108" t="n">
        <v>46.5</v>
      </c>
      <c r="X108" t="n">
        <v>11.3</v>
      </c>
      <c r="Y108" t="n">
        <v>21</v>
      </c>
      <c r="Z108" t="n">
        <v>8</v>
      </c>
      <c r="AA108" t="n">
        <v>13.7</v>
      </c>
    </row>
    <row r="109">
      <c r="A109" t="inlineStr">
        <is>
          <t>Temple</t>
        </is>
      </c>
      <c r="B109" t="n">
        <v>3</v>
      </c>
      <c r="C109" t="n">
        <v>631.0700000000001</v>
      </c>
      <c r="D109">
        <f>IFERROR(INDEX('Power Ratings'!$L$2:$L$139,MATCH($A109,'Power Ratings'!$B$2:$B$139,0)),"")</f>
        <v/>
      </c>
      <c r="E109" t="n">
        <v>-4.627</v>
      </c>
      <c r="F109" t="n">
        <v>-6.5</v>
      </c>
      <c r="G109" t="n">
        <v>1</v>
      </c>
      <c r="H109" t="n">
        <v>26.6</v>
      </c>
      <c r="I109" t="n">
        <v>0.21</v>
      </c>
      <c r="J109" t="n">
        <v>5.73</v>
      </c>
      <c r="K109" t="n">
        <v>0.093</v>
      </c>
      <c r="L109" t="n">
        <v>0.423</v>
      </c>
      <c r="M109" t="n">
        <v>54</v>
      </c>
      <c r="N109" t="inlineStr">
        <is>
          <t>31:54</t>
        </is>
      </c>
      <c r="O109" t="n">
        <v>33.5</v>
      </c>
      <c r="P109" t="n">
        <v>0.2</v>
      </c>
      <c r="Q109" t="n">
        <v>6.28</v>
      </c>
      <c r="R109" t="n">
        <v>0.134</v>
      </c>
      <c r="S109" t="n">
        <v>0.453</v>
      </c>
      <c r="T109" t="n">
        <v>65</v>
      </c>
      <c r="U109" t="n">
        <v>0.3</v>
      </c>
      <c r="V109" t="inlineStr">
        <is>
          <t>4/6</t>
        </is>
      </c>
      <c r="W109" t="n">
        <v>46.8</v>
      </c>
      <c r="X109" t="n">
        <v>21.5</v>
      </c>
      <c r="Y109" t="n">
        <v>22.4</v>
      </c>
      <c r="Z109" t="n">
        <v>7.7</v>
      </c>
      <c r="AA109" t="n">
        <v>13</v>
      </c>
    </row>
    <row r="110">
      <c r="A110" t="inlineStr">
        <is>
          <t>Tennessee</t>
        </is>
      </c>
      <c r="B110" t="n">
        <v>3</v>
      </c>
      <c r="C110" t="n">
        <v>885.9</v>
      </c>
      <c r="D110">
        <f>IFERROR(INDEX('Power Ratings'!$L$2:$L$139,MATCH($A110,'Power Ratings'!$B$2:$B$139,0)),"")</f>
        <v/>
      </c>
      <c r="E110" t="n">
        <v>18.514</v>
      </c>
      <c r="F110" t="n">
        <v>20.2</v>
      </c>
      <c r="G110" t="n">
        <v>0</v>
      </c>
      <c r="H110" t="n">
        <v>40.6</v>
      </c>
      <c r="I110" t="n">
        <v>0.37</v>
      </c>
      <c r="J110" t="n">
        <v>7.4</v>
      </c>
      <c r="K110" t="n">
        <v>0.11</v>
      </c>
      <c r="L110" t="n">
        <v>0.514</v>
      </c>
      <c r="M110" t="n">
        <v>79</v>
      </c>
      <c r="N110" t="inlineStr">
        <is>
          <t>29:58</t>
        </is>
      </c>
      <c r="O110" t="n">
        <v>20.7</v>
      </c>
      <c r="P110" t="n">
        <v>-0.07000000000000001</v>
      </c>
      <c r="Q110" t="n">
        <v>4.5</v>
      </c>
      <c r="R110" t="n">
        <v>0.207</v>
      </c>
      <c r="S110" t="n">
        <v>0.364</v>
      </c>
      <c r="T110" t="n">
        <v>53</v>
      </c>
      <c r="U110" t="n">
        <v>0.3</v>
      </c>
      <c r="V110" t="inlineStr">
        <is>
          <t>3/3</t>
        </is>
      </c>
      <c r="W110" t="n">
        <v>45</v>
      </c>
      <c r="X110" t="n">
        <v>9.199999999999999</v>
      </c>
      <c r="Y110" t="n">
        <v>22.7</v>
      </c>
      <c r="Z110" t="n">
        <v>24</v>
      </c>
      <c r="AA110" t="n">
        <v>22.6</v>
      </c>
    </row>
    <row r="111">
      <c r="A111" t="inlineStr">
        <is>
          <t>Texas</t>
        </is>
      </c>
      <c r="B111" t="n">
        <v>3</v>
      </c>
      <c r="C111" t="n">
        <v>985.17</v>
      </c>
      <c r="D111">
        <f>IFERROR(INDEX('Power Ratings'!$L$2:$L$139,MATCH($A111,'Power Ratings'!$B$2:$B$139,0)),"")</f>
        <v/>
      </c>
      <c r="E111" t="n">
        <v>28.128</v>
      </c>
      <c r="F111" t="n">
        <v>24.1</v>
      </c>
      <c r="G111" t="n">
        <v>2</v>
      </c>
      <c r="H111" t="n">
        <v>37.9</v>
      </c>
      <c r="I111" t="n">
        <v>0.17</v>
      </c>
      <c r="J111" t="n">
        <v>5.42</v>
      </c>
      <c r="K111" t="n">
        <v>0.15</v>
      </c>
      <c r="L111" t="n">
        <v>0.485</v>
      </c>
      <c r="M111" t="n">
        <v>78</v>
      </c>
      <c r="N111" t="inlineStr">
        <is>
          <t>32:38</t>
        </is>
      </c>
      <c r="O111" t="n">
        <v>14.2</v>
      </c>
      <c r="P111" t="n">
        <v>-0.01</v>
      </c>
      <c r="Q111" t="n">
        <v>4.79</v>
      </c>
      <c r="R111" t="n">
        <v>0.195</v>
      </c>
      <c r="S111" t="n">
        <v>0.372</v>
      </c>
      <c r="T111" t="n">
        <v>46</v>
      </c>
      <c r="U111" t="n">
        <v>0.4</v>
      </c>
      <c r="V111" t="inlineStr">
        <is>
          <t>5/5</t>
        </is>
      </c>
      <c r="W111" t="n">
        <v>41.3</v>
      </c>
      <c r="X111" t="n">
        <v>9.800000000000001</v>
      </c>
      <c r="Y111" t="n">
        <v>14.4</v>
      </c>
      <c r="Z111" t="n">
        <v>8</v>
      </c>
      <c r="AA111" t="n">
        <v>20.2</v>
      </c>
    </row>
    <row r="112">
      <c r="A112" t="inlineStr">
        <is>
          <t>Texas A&amp;M</t>
        </is>
      </c>
      <c r="B112" t="n">
        <v>3</v>
      </c>
      <c r="C112" t="n">
        <v>933</v>
      </c>
      <c r="D112">
        <f>IFERROR(INDEX('Power Ratings'!$L$2:$L$139,MATCH($A112,'Power Ratings'!$B$2:$B$139,0)),"")</f>
        <v/>
      </c>
      <c r="E112" t="n">
        <v>18.089</v>
      </c>
      <c r="F112" t="n">
        <v>18.3</v>
      </c>
      <c r="G112" t="n">
        <v>3</v>
      </c>
      <c r="H112" t="n">
        <v>36.4</v>
      </c>
      <c r="I112" t="n">
        <v>0.11</v>
      </c>
      <c r="J112" t="n">
        <v>5.17</v>
      </c>
      <c r="K112" t="n">
        <v>0.144</v>
      </c>
      <c r="L112" t="n">
        <v>0.47</v>
      </c>
      <c r="M112" t="n">
        <v>72</v>
      </c>
      <c r="N112" t="inlineStr">
        <is>
          <t>34:28</t>
        </is>
      </c>
      <c r="O112" t="n">
        <v>17.9</v>
      </c>
      <c r="P112" t="n">
        <v>-0.09</v>
      </c>
      <c r="Q112" t="n">
        <v>5.38</v>
      </c>
      <c r="R112" t="n">
        <v>0.188</v>
      </c>
      <c r="S112" t="n">
        <v>0.362</v>
      </c>
      <c r="T112" t="n">
        <v>38</v>
      </c>
      <c r="U112" t="n">
        <v>-0.2</v>
      </c>
      <c r="V112" t="inlineStr">
        <is>
          <t>4/4</t>
        </is>
      </c>
      <c r="W112" t="n">
        <v>48.4</v>
      </c>
      <c r="X112" t="n">
        <v>9.800000000000001</v>
      </c>
      <c r="Y112" t="n">
        <v>14.3</v>
      </c>
      <c r="Z112" t="n">
        <v>-0.2</v>
      </c>
      <c r="AA112" t="n">
        <v>19.8</v>
      </c>
    </row>
    <row r="113">
      <c r="A113" t="inlineStr">
        <is>
          <t>Texas State</t>
        </is>
      </c>
      <c r="B113" t="n">
        <v>3</v>
      </c>
      <c r="C113" t="n">
        <v>624.8099999999999</v>
      </c>
      <c r="D113">
        <f>IFERROR(INDEX('Power Ratings'!$L$2:$L$139,MATCH($A113,'Power Ratings'!$B$2:$B$139,0)),"")</f>
        <v/>
      </c>
      <c r="E113" t="n">
        <v>-4.895</v>
      </c>
      <c r="F113" t="n">
        <v>-5.9</v>
      </c>
      <c r="G113" t="n">
        <v>-3</v>
      </c>
      <c r="H113" t="n">
        <v>31.7</v>
      </c>
      <c r="I113" t="n">
        <v>0.22</v>
      </c>
      <c r="J113" t="n">
        <v>6.49</v>
      </c>
      <c r="K113" t="n">
        <v>0.116</v>
      </c>
      <c r="L113" t="n">
        <v>0.491</v>
      </c>
      <c r="M113" t="n">
        <v>75</v>
      </c>
      <c r="N113" t="inlineStr">
        <is>
          <t>29:50</t>
        </is>
      </c>
      <c r="O113" t="n">
        <v>37.7</v>
      </c>
      <c r="P113" t="n">
        <v>0.3</v>
      </c>
      <c r="Q113" t="n">
        <v>6.4</v>
      </c>
      <c r="R113" t="n">
        <v>0.139</v>
      </c>
      <c r="S113" t="n">
        <v>0.496</v>
      </c>
      <c r="T113" t="n">
        <v>82</v>
      </c>
      <c r="U113" t="n">
        <v>0</v>
      </c>
      <c r="V113" t="inlineStr">
        <is>
          <t>2/6</t>
        </is>
      </c>
      <c r="W113" t="n">
        <v>32.6</v>
      </c>
      <c r="X113" t="n">
        <v>6</v>
      </c>
      <c r="Y113" t="n">
        <v>14.9</v>
      </c>
      <c r="Z113" t="n">
        <v>11</v>
      </c>
      <c r="AA113" t="n">
        <v>20</v>
      </c>
    </row>
    <row r="114">
      <c r="A114" t="inlineStr">
        <is>
          <t>Texas Tech</t>
        </is>
      </c>
      <c r="B114" t="n">
        <v>3</v>
      </c>
      <c r="C114" t="n">
        <v>767.89</v>
      </c>
      <c r="D114">
        <f>IFERROR(INDEX('Power Ratings'!$L$2:$L$139,MATCH($A114,'Power Ratings'!$B$2:$B$139,0)),"")</f>
        <v/>
      </c>
      <c r="E114" t="n">
        <v>15.837</v>
      </c>
      <c r="F114" t="n">
        <v>18.5</v>
      </c>
      <c r="G114" t="n">
        <v>-1</v>
      </c>
      <c r="H114" t="n">
        <v>35.6</v>
      </c>
      <c r="I114" t="n">
        <v>0.24</v>
      </c>
      <c r="J114" t="n">
        <v>6.03</v>
      </c>
      <c r="K114" t="n">
        <v>0.16</v>
      </c>
      <c r="L114" t="n">
        <v>0.458</v>
      </c>
      <c r="M114" t="n">
        <v>70</v>
      </c>
      <c r="N114" t="inlineStr">
        <is>
          <t>29:22</t>
        </is>
      </c>
      <c r="O114" t="n">
        <v>17.4</v>
      </c>
      <c r="P114" t="n">
        <v>0.1</v>
      </c>
      <c r="Q114" t="n">
        <v>5.43</v>
      </c>
      <c r="R114" t="n">
        <v>0.166</v>
      </c>
      <c r="S114" t="n">
        <v>0.365</v>
      </c>
      <c r="T114" t="n">
        <v>62</v>
      </c>
      <c r="U114" t="n">
        <v>0.2</v>
      </c>
      <c r="V114" t="inlineStr">
        <is>
          <t>4/5</t>
        </is>
      </c>
      <c r="W114" t="n">
        <v>49</v>
      </c>
      <c r="X114" t="n">
        <v>6.7</v>
      </c>
      <c r="Y114" t="n">
        <v>21.3</v>
      </c>
      <c r="Z114" t="n">
        <v>10.5</v>
      </c>
      <c r="AA114" t="n">
        <v>32.6</v>
      </c>
    </row>
    <row r="115">
      <c r="A115" t="inlineStr">
        <is>
          <t>Toledo</t>
        </is>
      </c>
      <c r="B115" t="n">
        <v>3</v>
      </c>
      <c r="C115" t="n">
        <v>556.26</v>
      </c>
      <c r="D115">
        <f>IFERROR(INDEX('Power Ratings'!$L$2:$L$139,MATCH($A115,'Power Ratings'!$B$2:$B$139,0)),"")</f>
        <v/>
      </c>
      <c r="E115" t="n">
        <v>-1.798</v>
      </c>
      <c r="F115" t="n">
        <v>-5.4</v>
      </c>
      <c r="G115" t="n">
        <v>-2</v>
      </c>
      <c r="H115" t="n">
        <v>21.9</v>
      </c>
      <c r="I115" t="n">
        <v>0.29</v>
      </c>
      <c r="J115" t="n">
        <v>7.14</v>
      </c>
      <c r="K115" t="n">
        <v>0.155</v>
      </c>
      <c r="L115" t="n">
        <v>0.44</v>
      </c>
      <c r="M115" t="n">
        <v>65</v>
      </c>
      <c r="N115" t="inlineStr">
        <is>
          <t>25:43</t>
        </is>
      </c>
      <c r="O115" t="n">
        <v>26.9</v>
      </c>
      <c r="P115" t="n">
        <v>0.02</v>
      </c>
      <c r="Q115" t="n">
        <v>4.51</v>
      </c>
      <c r="R115" t="n">
        <v>0.123</v>
      </c>
      <c r="S115" t="n">
        <v>0.332</v>
      </c>
      <c r="T115" t="n">
        <v>54</v>
      </c>
      <c r="U115" t="n">
        <v>-0.4</v>
      </c>
      <c r="V115" t="inlineStr">
        <is>
          <t>0/1</t>
        </is>
      </c>
      <c r="W115" t="n">
        <v>43.3</v>
      </c>
      <c r="X115" t="n">
        <v>12</v>
      </c>
      <c r="Y115" t="n">
        <v>24</v>
      </c>
      <c r="Z115" t="n">
        <v>10</v>
      </c>
      <c r="AA115" t="n">
        <v>22.9</v>
      </c>
    </row>
    <row r="116">
      <c r="A116" t="inlineStr">
        <is>
          <t>Troy</t>
        </is>
      </c>
      <c r="B116" t="n">
        <v>3</v>
      </c>
      <c r="C116" t="n">
        <v>596.1900000000001</v>
      </c>
      <c r="D116">
        <f>IFERROR(INDEX('Power Ratings'!$L$2:$L$139,MATCH($A116,'Power Ratings'!$B$2:$B$139,0)),"")</f>
        <v/>
      </c>
      <c r="E116" t="n">
        <v>-6.043</v>
      </c>
      <c r="F116" t="n">
        <v>-6.2</v>
      </c>
      <c r="G116" t="n">
        <v>0</v>
      </c>
      <c r="H116" t="n">
        <v>22.5</v>
      </c>
      <c r="I116" t="n">
        <v>0.09</v>
      </c>
      <c r="J116" t="n">
        <v>5.3</v>
      </c>
      <c r="K116" t="n">
        <v>0.218</v>
      </c>
      <c r="L116" t="n">
        <v>0.365</v>
      </c>
      <c r="M116" t="n">
        <v>55</v>
      </c>
      <c r="N116" t="inlineStr">
        <is>
          <t>33:09</t>
        </is>
      </c>
      <c r="O116" t="n">
        <v>28.8</v>
      </c>
      <c r="P116" t="n">
        <v>0</v>
      </c>
      <c r="Q116" t="n">
        <v>4.71</v>
      </c>
      <c r="R116" t="n">
        <v>0.204</v>
      </c>
      <c r="S116" t="n">
        <v>0.354</v>
      </c>
      <c r="T116" t="n">
        <v>50</v>
      </c>
      <c r="U116" t="n">
        <v>0.2</v>
      </c>
      <c r="V116" t="inlineStr">
        <is>
          <t>4/6</t>
        </is>
      </c>
      <c r="W116" t="n">
        <v>45.1</v>
      </c>
      <c r="X116" t="n">
        <v>2.5</v>
      </c>
      <c r="Y116" t="n">
        <v>20</v>
      </c>
      <c r="Z116" t="n">
        <v>16.8</v>
      </c>
      <c r="AA116" t="n">
        <v>13.8</v>
      </c>
    </row>
    <row r="117">
      <c r="A117" t="inlineStr">
        <is>
          <t>Tulane</t>
        </is>
      </c>
      <c r="B117" t="n">
        <v>3</v>
      </c>
      <c r="C117" t="n">
        <v>665.11</v>
      </c>
      <c r="D117">
        <f>IFERROR(INDEX('Power Ratings'!$L$2:$L$139,MATCH($A117,'Power Ratings'!$B$2:$B$139,0)),"")</f>
        <v/>
      </c>
      <c r="E117" t="n">
        <v>-0.215</v>
      </c>
      <c r="F117" t="n">
        <v>-5.6</v>
      </c>
      <c r="G117" t="n">
        <v>0</v>
      </c>
      <c r="H117" t="n">
        <v>21.6</v>
      </c>
      <c r="I117" t="n">
        <v>0.09</v>
      </c>
      <c r="J117" t="n">
        <v>5.67</v>
      </c>
      <c r="K117" t="n">
        <v>0.235</v>
      </c>
      <c r="L117" t="n">
        <v>0.337</v>
      </c>
      <c r="M117" t="n">
        <v>41</v>
      </c>
      <c r="N117" t="inlineStr">
        <is>
          <t>24:01</t>
        </is>
      </c>
      <c r="O117" t="n">
        <v>27.6</v>
      </c>
      <c r="P117" t="n">
        <v>0.15</v>
      </c>
      <c r="Q117" t="n">
        <v>6.01</v>
      </c>
      <c r="R117" t="n">
        <v>0.096</v>
      </c>
      <c r="S117" t="n">
        <v>0.406</v>
      </c>
      <c r="T117" t="n">
        <v>65</v>
      </c>
      <c r="U117" t="n">
        <v>0.5</v>
      </c>
      <c r="V117" t="inlineStr">
        <is>
          <t>3/5</t>
        </is>
      </c>
      <c r="W117" t="n">
        <v>43.9</v>
      </c>
      <c r="X117" t="n">
        <v>13</v>
      </c>
      <c r="Y117" t="n">
        <v>18.4</v>
      </c>
      <c r="Z117" t="n">
        <v>1</v>
      </c>
      <c r="AA117" t="n">
        <v>9.300000000000001</v>
      </c>
    </row>
    <row r="118">
      <c r="A118" t="inlineStr">
        <is>
          <t>Tulsa</t>
        </is>
      </c>
      <c r="B118" t="n">
        <v>3</v>
      </c>
      <c r="C118" t="n">
        <v>622.84</v>
      </c>
      <c r="D118">
        <f>IFERROR(INDEX('Power Ratings'!$L$2:$L$139,MATCH($A118,'Power Ratings'!$B$2:$B$139,0)),"")</f>
        <v/>
      </c>
      <c r="E118" t="n">
        <v>-1.011</v>
      </c>
      <c r="F118" t="n">
        <v>-1.2</v>
      </c>
      <c r="G118" t="n">
        <v>4</v>
      </c>
      <c r="H118" t="n">
        <v>25.2</v>
      </c>
      <c r="I118" t="n">
        <v>0.17</v>
      </c>
      <c r="J118" t="n">
        <v>5.89</v>
      </c>
      <c r="K118" t="n">
        <v>0.129</v>
      </c>
      <c r="L118" t="n">
        <v>0.416</v>
      </c>
      <c r="M118" t="n">
        <v>56</v>
      </c>
      <c r="N118" t="inlineStr">
        <is>
          <t>29:38</t>
        </is>
      </c>
      <c r="O118" t="n">
        <v>26.8</v>
      </c>
      <c r="P118" t="n">
        <v>-0.12</v>
      </c>
      <c r="Q118" t="n">
        <v>4.61</v>
      </c>
      <c r="R118" t="n">
        <v>0.15</v>
      </c>
      <c r="S118" t="n">
        <v>0.376</v>
      </c>
      <c r="T118" t="n">
        <v>62</v>
      </c>
      <c r="U118" t="n">
        <v>0.4</v>
      </c>
      <c r="V118" t="inlineStr">
        <is>
          <t>2/4</t>
        </is>
      </c>
      <c r="W118" t="n">
        <v>42.9</v>
      </c>
      <c r="X118" t="n">
        <v>5</v>
      </c>
      <c r="Y118" t="n">
        <v>33</v>
      </c>
      <c r="Z118" t="n">
        <v>2.5</v>
      </c>
      <c r="AA118" t="n">
        <v>22.8</v>
      </c>
    </row>
    <row r="119">
      <c r="A119" t="inlineStr">
        <is>
          <t>UAB</t>
        </is>
      </c>
      <c r="B119" t="n">
        <v>3</v>
      </c>
      <c r="C119" t="n">
        <v>606.1799999999999</v>
      </c>
      <c r="D119">
        <f>IFERROR(INDEX('Power Ratings'!$L$2:$L$139,MATCH($A119,'Power Ratings'!$B$2:$B$139,0)),"")</f>
        <v/>
      </c>
      <c r="E119" t="n">
        <v>-14.905</v>
      </c>
      <c r="F119" t="n">
        <v>-17</v>
      </c>
      <c r="G119" t="n">
        <v>-1</v>
      </c>
      <c r="H119" t="n">
        <v>19.5</v>
      </c>
      <c r="I119" t="n">
        <v>0.01</v>
      </c>
      <c r="J119" t="n">
        <v>4.94</v>
      </c>
      <c r="K119" t="n">
        <v>0.163</v>
      </c>
      <c r="L119" t="n">
        <v>0.433</v>
      </c>
      <c r="M119" t="n">
        <v>58</v>
      </c>
      <c r="N119" t="inlineStr">
        <is>
          <t>32:31</t>
        </is>
      </c>
      <c r="O119" t="n">
        <v>36.1</v>
      </c>
      <c r="P119" t="n">
        <v>0.07000000000000001</v>
      </c>
      <c r="Q119" t="n">
        <v>5.16</v>
      </c>
      <c r="R119" t="n">
        <v>0.124</v>
      </c>
      <c r="S119" t="n">
        <v>0.438</v>
      </c>
      <c r="T119" t="n">
        <v>57</v>
      </c>
      <c r="U119" t="n">
        <v>-0.4</v>
      </c>
      <c r="V119" t="inlineStr">
        <is>
          <t>7/7</t>
        </is>
      </c>
      <c r="W119" t="n">
        <v>41.4</v>
      </c>
      <c r="X119" t="n">
        <v>12</v>
      </c>
      <c r="Y119" t="n">
        <v>15</v>
      </c>
      <c r="Z119" t="n">
        <v>36.5</v>
      </c>
      <c r="AA119" t="n">
        <v>22.8</v>
      </c>
    </row>
    <row r="120">
      <c r="A120" t="inlineStr">
        <is>
          <t>UCF</t>
        </is>
      </c>
      <c r="B120" t="n">
        <v>3</v>
      </c>
      <c r="C120" t="n">
        <v>672.14</v>
      </c>
      <c r="D120">
        <f>IFERROR(INDEX('Power Ratings'!$L$2:$L$139,MATCH($A120,'Power Ratings'!$B$2:$B$139,0)),"")</f>
        <v/>
      </c>
      <c r="E120" t="n">
        <v>4.868</v>
      </c>
      <c r="F120" t="n">
        <v>5.5</v>
      </c>
      <c r="G120" t="n">
        <v>3</v>
      </c>
      <c r="H120" t="n">
        <v>25.9</v>
      </c>
      <c r="I120" t="n">
        <v>0.17</v>
      </c>
      <c r="J120" t="n">
        <v>6.8</v>
      </c>
      <c r="K120" t="n">
        <v>0.145</v>
      </c>
      <c r="L120" t="n">
        <v>0.43</v>
      </c>
      <c r="M120" t="n">
        <v>52</v>
      </c>
      <c r="N120" t="inlineStr">
        <is>
          <t>26:11</t>
        </is>
      </c>
      <c r="O120" t="n">
        <v>20.4</v>
      </c>
      <c r="P120" t="n">
        <v>-0.04</v>
      </c>
      <c r="Q120" t="n">
        <v>4.54</v>
      </c>
      <c r="R120" t="n">
        <v>0.163</v>
      </c>
      <c r="S120" t="n">
        <v>0.335</v>
      </c>
      <c r="T120" t="n">
        <v>49</v>
      </c>
      <c r="U120" t="n">
        <v>-0.1</v>
      </c>
      <c r="V120" t="inlineStr">
        <is>
          <t>4/4</t>
        </is>
      </c>
      <c r="W120" t="n">
        <v>46.6</v>
      </c>
      <c r="X120" t="n">
        <v>21.9</v>
      </c>
      <c r="Y120" t="n">
        <v>29.3</v>
      </c>
      <c r="Z120" t="n">
        <v>5.7</v>
      </c>
      <c r="AA120" t="n">
        <v>13.2</v>
      </c>
    </row>
    <row r="121">
      <c r="A121" t="inlineStr">
        <is>
          <t>UCLA</t>
        </is>
      </c>
      <c r="B121" t="n">
        <v>3</v>
      </c>
      <c r="C121" t="n">
        <v>774.45</v>
      </c>
      <c r="D121">
        <f>IFERROR(INDEX('Power Ratings'!$L$2:$L$139,MATCH($A121,'Power Ratings'!$B$2:$B$139,0)),"")</f>
        <v/>
      </c>
      <c r="E121" t="n">
        <v>7.423</v>
      </c>
      <c r="F121" t="n">
        <v>9</v>
      </c>
      <c r="G121" t="n">
        <v>5</v>
      </c>
      <c r="H121" t="n">
        <v>32.6</v>
      </c>
      <c r="I121" t="n">
        <v>0.36</v>
      </c>
      <c r="J121" t="n">
        <v>7.36</v>
      </c>
      <c r="K121" t="n">
        <v>0.114</v>
      </c>
      <c r="L121" t="n">
        <v>0.522</v>
      </c>
      <c r="M121" t="n">
        <v>74</v>
      </c>
      <c r="N121" t="inlineStr">
        <is>
          <t>32:05</t>
        </is>
      </c>
      <c r="O121" t="n">
        <v>23.6</v>
      </c>
      <c r="P121" t="n">
        <v>0.02</v>
      </c>
      <c r="Q121" t="n">
        <v>5.38</v>
      </c>
      <c r="R121" t="n">
        <v>0.166</v>
      </c>
      <c r="S121" t="n">
        <v>0.366</v>
      </c>
      <c r="T121" t="n">
        <v>60</v>
      </c>
      <c r="U121" t="n">
        <v>0</v>
      </c>
      <c r="V121" t="inlineStr">
        <is>
          <t>2/3</t>
        </is>
      </c>
      <c r="W121" t="n">
        <v>45.6</v>
      </c>
      <c r="X121" t="n">
        <v>15.6</v>
      </c>
      <c r="Y121" t="n">
        <v>21.6</v>
      </c>
      <c r="Z121" t="n">
        <v>7</v>
      </c>
      <c r="AA121" t="n">
        <v>19</v>
      </c>
    </row>
    <row r="122">
      <c r="A122" t="inlineStr">
        <is>
          <t>UConn</t>
        </is>
      </c>
      <c r="B122" t="n">
        <v>3</v>
      </c>
      <c r="C122" t="n">
        <v>652.5599999999999</v>
      </c>
      <c r="D122">
        <f>IFERROR(INDEX('Power Ratings'!$L$2:$L$139,MATCH($A122,'Power Ratings'!$B$2:$B$139,0)),"")</f>
        <v/>
      </c>
      <c r="E122" t="n">
        <v>-5.833</v>
      </c>
      <c r="F122" t="n">
        <v>-5.2</v>
      </c>
      <c r="G122" t="n">
        <v>-1</v>
      </c>
      <c r="H122" t="n">
        <v>24.1</v>
      </c>
      <c r="I122" t="n">
        <v>0.27</v>
      </c>
      <c r="J122" t="n">
        <v>6.79</v>
      </c>
      <c r="K122" t="n">
        <v>0.13</v>
      </c>
      <c r="L122" t="n">
        <v>0.45</v>
      </c>
      <c r="M122" t="n">
        <v>65</v>
      </c>
      <c r="N122" t="inlineStr">
        <is>
          <t>30:05</t>
        </is>
      </c>
      <c r="O122" t="n">
        <v>29.8</v>
      </c>
      <c r="P122" t="n">
        <v>-0.03</v>
      </c>
      <c r="Q122" t="n">
        <v>4.76</v>
      </c>
      <c r="R122" t="n">
        <v>0.171</v>
      </c>
      <c r="S122" t="n">
        <v>0.377</v>
      </c>
      <c r="T122" t="n">
        <v>67</v>
      </c>
      <c r="U122" t="n">
        <v>0.5</v>
      </c>
      <c r="V122" t="inlineStr">
        <is>
          <t>2/2</t>
        </is>
      </c>
      <c r="W122" t="n">
        <v>40.6</v>
      </c>
      <c r="X122" t="n">
        <v>9.300000000000001</v>
      </c>
      <c r="Y122" t="n">
        <v>20.1</v>
      </c>
      <c r="AA122" t="n">
        <v>11.7</v>
      </c>
    </row>
    <row r="123">
      <c r="A123" t="inlineStr">
        <is>
          <t>UMass</t>
        </is>
      </c>
      <c r="B123" t="n">
        <v>3</v>
      </c>
      <c r="C123" t="n">
        <v>525.9400000000001</v>
      </c>
      <c r="D123">
        <f>IFERROR(INDEX('Power Ratings'!$L$2:$L$139,MATCH($A123,'Power Ratings'!$B$2:$B$139,0)),"")</f>
        <v/>
      </c>
      <c r="E123" t="n">
        <v>-11.409</v>
      </c>
      <c r="F123" t="n">
        <v>-19.9</v>
      </c>
      <c r="G123" t="n">
        <v>7</v>
      </c>
      <c r="H123" t="n">
        <v>14.9</v>
      </c>
      <c r="I123" t="n">
        <v>0.29</v>
      </c>
      <c r="J123" t="n">
        <v>6.55</v>
      </c>
      <c r="K123" t="n">
        <v>0.102</v>
      </c>
      <c r="L123" t="n">
        <v>0.47</v>
      </c>
      <c r="M123" t="n">
        <v>47</v>
      </c>
      <c r="N123" t="inlineStr">
        <is>
          <t>30:29</t>
        </is>
      </c>
      <c r="O123" t="n">
        <v>34.5</v>
      </c>
      <c r="P123" t="n">
        <v>-0.15</v>
      </c>
      <c r="Q123" t="n">
        <v>4.3</v>
      </c>
      <c r="R123" t="n">
        <v>0.17</v>
      </c>
      <c r="S123" t="n">
        <v>0.335</v>
      </c>
      <c r="T123" t="n">
        <v>44</v>
      </c>
      <c r="U123" t="n">
        <v>-0.4</v>
      </c>
      <c r="V123" t="inlineStr">
        <is>
          <t>7/8</t>
        </is>
      </c>
      <c r="W123" t="n">
        <v>51</v>
      </c>
      <c r="X123" t="n">
        <v>37</v>
      </c>
      <c r="Y123" t="n">
        <v>17.2</v>
      </c>
      <c r="Z123" t="n">
        <v>5.2</v>
      </c>
      <c r="AA123" t="n">
        <v>15</v>
      </c>
    </row>
    <row r="124">
      <c r="A124" t="inlineStr">
        <is>
          <t>UNLV</t>
        </is>
      </c>
      <c r="B124" t="n">
        <v>3</v>
      </c>
      <c r="C124" t="n">
        <v>696.03</v>
      </c>
      <c r="D124">
        <f>IFERROR(INDEX('Power Ratings'!$L$2:$L$139,MATCH($A124,'Power Ratings'!$B$2:$B$139,0)),"")</f>
        <v/>
      </c>
      <c r="E124" t="n">
        <v>-5.87</v>
      </c>
      <c r="F124" t="n">
        <v>-3.3</v>
      </c>
      <c r="G124" t="n">
        <v>-2</v>
      </c>
      <c r="H124" t="n">
        <v>26.5</v>
      </c>
      <c r="I124" t="n">
        <v>-0.05</v>
      </c>
      <c r="J124" t="n">
        <v>5.31</v>
      </c>
      <c r="K124" t="n">
        <v>0.179</v>
      </c>
      <c r="L124" t="n">
        <v>0.353</v>
      </c>
      <c r="M124" t="n">
        <v>59</v>
      </c>
      <c r="N124" t="inlineStr">
        <is>
          <t>30:16</t>
        </is>
      </c>
      <c r="O124" t="n">
        <v>29.8</v>
      </c>
      <c r="P124" t="n">
        <v>0.15</v>
      </c>
      <c r="Q124" t="n">
        <v>5.69</v>
      </c>
      <c r="R124" t="n">
        <v>0.15</v>
      </c>
      <c r="S124" t="n">
        <v>0.413</v>
      </c>
      <c r="T124" t="n">
        <v>62</v>
      </c>
      <c r="U124" t="n">
        <v>0</v>
      </c>
      <c r="V124" t="inlineStr">
        <is>
          <t>2/3</t>
        </is>
      </c>
      <c r="W124" t="n">
        <v>43.1</v>
      </c>
      <c r="X124" t="n">
        <v>0.5</v>
      </c>
      <c r="Y124" t="n">
        <v>16.5</v>
      </c>
      <c r="Z124" t="n">
        <v>3</v>
      </c>
      <c r="AA124" t="n">
        <v>27.3</v>
      </c>
    </row>
    <row r="125">
      <c r="A125" t="inlineStr">
        <is>
          <t>USC</t>
        </is>
      </c>
      <c r="B125" t="n">
        <v>4</v>
      </c>
      <c r="C125" t="n">
        <v>899</v>
      </c>
      <c r="D125">
        <f>IFERROR(INDEX('Power Ratings'!$L$2:$L$139,MATCH($A125,'Power Ratings'!$B$2:$B$139,0)),"")</f>
        <v/>
      </c>
      <c r="E125" t="n">
        <v>15.441</v>
      </c>
      <c r="F125" t="n">
        <v>21.6</v>
      </c>
      <c r="G125" t="n">
        <v>0</v>
      </c>
      <c r="H125" t="n">
        <v>42.3</v>
      </c>
      <c r="I125" t="n">
        <v>0.32</v>
      </c>
      <c r="J125" t="n">
        <v>7.2</v>
      </c>
      <c r="K125" t="n">
        <v>0.067</v>
      </c>
      <c r="L125" t="n">
        <v>0.5610000000000001</v>
      </c>
      <c r="M125" t="n">
        <v>105</v>
      </c>
      <c r="N125" t="inlineStr">
        <is>
          <t>34:02</t>
        </is>
      </c>
      <c r="O125" t="n">
        <v>20.7</v>
      </c>
      <c r="P125" t="n">
        <v>0.11</v>
      </c>
      <c r="Q125" t="n">
        <v>5.75</v>
      </c>
      <c r="R125" t="n">
        <v>0.124</v>
      </c>
      <c r="S125" t="n">
        <v>0.413</v>
      </c>
      <c r="T125" t="n">
        <v>72</v>
      </c>
      <c r="U125" t="n">
        <v>-0.1</v>
      </c>
      <c r="V125" t="inlineStr">
        <is>
          <t>2/2</t>
        </is>
      </c>
      <c r="W125" t="n">
        <v>49</v>
      </c>
      <c r="X125" t="n">
        <v>22</v>
      </c>
      <c r="Y125" t="n">
        <v>17</v>
      </c>
      <c r="Z125" t="n">
        <v>2</v>
      </c>
      <c r="AA125" t="n">
        <v>18.5</v>
      </c>
    </row>
    <row r="126">
      <c r="A126" t="inlineStr">
        <is>
          <t>UTEP</t>
        </is>
      </c>
      <c r="B126" t="n">
        <v>3</v>
      </c>
      <c r="C126" t="n">
        <v>585.76</v>
      </c>
      <c r="D126">
        <f>IFERROR(INDEX('Power Ratings'!$L$2:$L$139,MATCH($A126,'Power Ratings'!$B$2:$B$139,0)),"")</f>
        <v/>
      </c>
      <c r="E126" t="n">
        <v>-18.302</v>
      </c>
      <c r="F126" t="n">
        <v>-19.7</v>
      </c>
      <c r="G126" t="n">
        <v>1</v>
      </c>
      <c r="H126" t="n">
        <v>16.2</v>
      </c>
      <c r="I126" t="n">
        <v>-0.17</v>
      </c>
      <c r="J126" t="n">
        <v>5.34</v>
      </c>
      <c r="K126" t="n">
        <v>0.23</v>
      </c>
      <c r="L126" t="n">
        <v>0.379</v>
      </c>
      <c r="M126" t="n">
        <v>40</v>
      </c>
      <c r="N126" t="inlineStr">
        <is>
          <t>27:05</t>
        </is>
      </c>
      <c r="O126" t="n">
        <v>35.5</v>
      </c>
      <c r="P126" t="n">
        <v>0.23</v>
      </c>
      <c r="Q126" t="n">
        <v>5.49</v>
      </c>
      <c r="R126" t="n">
        <v>0.133</v>
      </c>
      <c r="S126" t="n">
        <v>0.462</v>
      </c>
      <c r="T126" t="n">
        <v>58</v>
      </c>
      <c r="U126" t="n">
        <v>-0.5</v>
      </c>
      <c r="V126" t="inlineStr">
        <is>
          <t>2/5</t>
        </is>
      </c>
      <c r="W126" t="n">
        <v>35.5</v>
      </c>
      <c r="X126" t="n">
        <v>5</v>
      </c>
      <c r="Y126" t="n">
        <v>19</v>
      </c>
      <c r="Z126" t="n">
        <v>31.2</v>
      </c>
      <c r="AA126" t="n">
        <v>21.2</v>
      </c>
    </row>
    <row r="127">
      <c r="A127" t="inlineStr">
        <is>
          <t>UTSA</t>
        </is>
      </c>
      <c r="B127" t="n">
        <v>3</v>
      </c>
      <c r="C127" t="n">
        <v>655.8200000000001</v>
      </c>
      <c r="D127">
        <f>IFERROR(INDEX('Power Ratings'!$L$2:$L$139,MATCH($A127,'Power Ratings'!$B$2:$B$139,0)),"")</f>
        <v/>
      </c>
      <c r="E127" t="n">
        <v>-1.663</v>
      </c>
      <c r="F127" t="n">
        <v>-1.4</v>
      </c>
      <c r="G127" t="n">
        <v>4</v>
      </c>
      <c r="H127" t="n">
        <v>28.7</v>
      </c>
      <c r="I127" t="n">
        <v>0.21</v>
      </c>
      <c r="J127" t="n">
        <v>5.95</v>
      </c>
      <c r="K127" t="n">
        <v>0.148</v>
      </c>
      <c r="L127" t="n">
        <v>0.472</v>
      </c>
      <c r="M127" t="n">
        <v>54</v>
      </c>
      <c r="N127" t="inlineStr">
        <is>
          <t>25:33</t>
        </is>
      </c>
      <c r="O127" t="n">
        <v>30.2</v>
      </c>
      <c r="P127" t="n">
        <v>0.01</v>
      </c>
      <c r="Q127" t="n">
        <v>5.34</v>
      </c>
      <c r="R127" t="n">
        <v>0.133</v>
      </c>
      <c r="S127" t="n">
        <v>0.441</v>
      </c>
      <c r="T127" t="n">
        <v>76</v>
      </c>
      <c r="U127" t="n">
        <v>0.1</v>
      </c>
      <c r="V127" t="inlineStr">
        <is>
          <t>4/5</t>
        </is>
      </c>
      <c r="W127" t="n">
        <v>41.1</v>
      </c>
      <c r="X127" t="n">
        <v>7</v>
      </c>
      <c r="Y127" t="n">
        <v>20</v>
      </c>
      <c r="Z127" t="n">
        <v>11.8</v>
      </c>
      <c r="AA127" t="n">
        <v>14</v>
      </c>
    </row>
    <row r="128">
      <c r="A128" t="inlineStr">
        <is>
          <t>Utah</t>
        </is>
      </c>
      <c r="B128" t="n">
        <v>3</v>
      </c>
      <c r="C128" t="n">
        <v>695.72</v>
      </c>
      <c r="D128">
        <f>IFERROR(INDEX('Power Ratings'!$L$2:$L$139,MATCH($A128,'Power Ratings'!$B$2:$B$139,0)),"")</f>
        <v/>
      </c>
      <c r="E128" t="n">
        <v>16.483</v>
      </c>
      <c r="F128" t="n">
        <v>17</v>
      </c>
      <c r="G128" t="n">
        <v>2</v>
      </c>
      <c r="H128" t="n">
        <v>35.2</v>
      </c>
      <c r="I128" t="n">
        <v>0.33</v>
      </c>
      <c r="J128" t="n">
        <v>7.37</v>
      </c>
      <c r="K128" t="n">
        <v>0.122</v>
      </c>
      <c r="L128" t="n">
        <v>0.502</v>
      </c>
      <c r="M128" t="n">
        <v>80</v>
      </c>
      <c r="N128" t="inlineStr">
        <is>
          <t>32:32</t>
        </is>
      </c>
      <c r="O128" t="n">
        <v>18.2</v>
      </c>
      <c r="P128" t="n">
        <v>-0.06</v>
      </c>
      <c r="Q128" t="n">
        <v>3.76</v>
      </c>
      <c r="R128" t="n">
        <v>0.199</v>
      </c>
      <c r="S128" t="n">
        <v>0.301</v>
      </c>
      <c r="T128" t="n">
        <v>44</v>
      </c>
      <c r="U128" t="n">
        <v>0.1</v>
      </c>
      <c r="V128" t="inlineStr">
        <is>
          <t>3/3</t>
        </is>
      </c>
      <c r="W128" t="n">
        <v>48</v>
      </c>
      <c r="X128" t="n">
        <v>8.800000000000001</v>
      </c>
      <c r="Z128" t="n">
        <v>-0.5</v>
      </c>
      <c r="AA128" t="n">
        <v>19</v>
      </c>
    </row>
    <row r="129">
      <c r="A129" t="inlineStr">
        <is>
          <t>Utah State</t>
        </is>
      </c>
      <c r="B129" t="n">
        <v>3</v>
      </c>
      <c r="C129" t="n">
        <v>543.98</v>
      </c>
      <c r="D129">
        <f>IFERROR(INDEX('Power Ratings'!$L$2:$L$139,MATCH($A129,'Power Ratings'!$B$2:$B$139,0)),"")</f>
        <v/>
      </c>
      <c r="E129" t="n">
        <v>-8.804</v>
      </c>
      <c r="F129" t="n">
        <v>-9.300000000000001</v>
      </c>
      <c r="G129" t="n">
        <v>-7</v>
      </c>
      <c r="H129" t="n">
        <v>20.8</v>
      </c>
      <c r="I129" t="n">
        <v>-0.14</v>
      </c>
      <c r="J129" t="n">
        <v>4.33</v>
      </c>
      <c r="K129" t="n">
        <v>0.203</v>
      </c>
      <c r="L129" t="n">
        <v>0.342</v>
      </c>
      <c r="M129" t="n">
        <v>53</v>
      </c>
      <c r="N129" t="inlineStr">
        <is>
          <t>27:45</t>
        </is>
      </c>
      <c r="O129" t="n">
        <v>29.7</v>
      </c>
      <c r="P129" t="n">
        <v>0.09</v>
      </c>
      <c r="Q129" t="n">
        <v>5.1</v>
      </c>
      <c r="R129" t="n">
        <v>0.126</v>
      </c>
      <c r="S129" t="n">
        <v>0.4</v>
      </c>
      <c r="T129" t="n">
        <v>55</v>
      </c>
      <c r="U129" t="n">
        <v>-0.4</v>
      </c>
      <c r="V129" t="inlineStr">
        <is>
          <t>1/2</t>
        </is>
      </c>
      <c r="W129" t="n">
        <v>43.5</v>
      </c>
      <c r="X129" t="n">
        <v>9.199999999999999</v>
      </c>
      <c r="Y129" t="n">
        <v>19</v>
      </c>
      <c r="Z129" t="n">
        <v>2.4</v>
      </c>
    </row>
    <row r="130">
      <c r="A130" t="inlineStr">
        <is>
          <t>Vanderbilt</t>
        </is>
      </c>
      <c r="B130" t="n">
        <v>3</v>
      </c>
      <c r="C130" t="n">
        <v>727.39</v>
      </c>
      <c r="D130">
        <f>IFERROR(INDEX('Power Ratings'!$L$2:$L$139,MATCH($A130,'Power Ratings'!$B$2:$B$139,0)),"")</f>
        <v/>
      </c>
      <c r="E130" t="n">
        <v>6.092</v>
      </c>
      <c r="F130" t="n">
        <v>9.699999999999999</v>
      </c>
      <c r="G130" t="n">
        <v>1</v>
      </c>
      <c r="H130" t="n">
        <v>33.2</v>
      </c>
      <c r="I130" t="n">
        <v>0.18</v>
      </c>
      <c r="J130" t="n">
        <v>6.02</v>
      </c>
      <c r="K130" t="n">
        <v>0.13</v>
      </c>
      <c r="L130" t="n">
        <v>0.435</v>
      </c>
      <c r="M130" t="n">
        <v>57</v>
      </c>
      <c r="N130" t="inlineStr">
        <is>
          <t>29:33</t>
        </is>
      </c>
      <c r="O130" t="n">
        <v>24</v>
      </c>
      <c r="P130" t="n">
        <v>-0.06</v>
      </c>
      <c r="Q130" t="n">
        <v>4.98</v>
      </c>
      <c r="R130" t="n">
        <v>0.209</v>
      </c>
      <c r="S130" t="n">
        <v>0.352</v>
      </c>
      <c r="T130" t="n">
        <v>54</v>
      </c>
      <c r="U130" t="n">
        <v>0.5</v>
      </c>
      <c r="V130" t="inlineStr">
        <is>
          <t>2/2</t>
        </is>
      </c>
      <c r="W130" t="n">
        <v>48.1</v>
      </c>
      <c r="X130" t="n">
        <v>15.8</v>
      </c>
      <c r="Y130" t="n">
        <v>16.9</v>
      </c>
      <c r="Z130" t="n">
        <v>12</v>
      </c>
      <c r="AA130" t="n">
        <v>18.5</v>
      </c>
    </row>
    <row r="131">
      <c r="A131" t="inlineStr">
        <is>
          <t>Virginia</t>
        </is>
      </c>
      <c r="B131" t="n">
        <v>3</v>
      </c>
      <c r="C131" t="n">
        <v>700.1799999999999</v>
      </c>
      <c r="D131">
        <f>IFERROR(INDEX('Power Ratings'!$L$2:$L$139,MATCH($A131,'Power Ratings'!$B$2:$B$139,0)),"")</f>
        <v/>
      </c>
      <c r="E131" t="n">
        <v>9.215999999999999</v>
      </c>
      <c r="F131" t="n">
        <v>10.5</v>
      </c>
      <c r="G131" t="n">
        <v>4</v>
      </c>
      <c r="H131" t="n">
        <v>29.3</v>
      </c>
      <c r="I131" t="n">
        <v>0.27</v>
      </c>
      <c r="J131" t="n">
        <v>6.17</v>
      </c>
      <c r="K131" t="n">
        <v>0.097</v>
      </c>
      <c r="L131" t="n">
        <v>0.488</v>
      </c>
      <c r="M131" t="n">
        <v>62</v>
      </c>
      <c r="N131" t="inlineStr">
        <is>
          <t>33:08</t>
        </is>
      </c>
      <c r="O131" t="n">
        <v>18.9</v>
      </c>
      <c r="P131" t="n">
        <v>-0.12</v>
      </c>
      <c r="Q131" t="n">
        <v>4.5</v>
      </c>
      <c r="R131" t="n">
        <v>0.183</v>
      </c>
      <c r="S131" t="n">
        <v>0.349</v>
      </c>
      <c r="T131" t="n">
        <v>42</v>
      </c>
      <c r="U131" t="n">
        <v>0.2</v>
      </c>
      <c r="V131" t="inlineStr">
        <is>
          <t>3/4</t>
        </is>
      </c>
      <c r="W131" t="n">
        <v>47</v>
      </c>
      <c r="X131" t="n">
        <v>6.7</v>
      </c>
      <c r="Y131" t="n">
        <v>31.5</v>
      </c>
      <c r="Z131" t="n">
        <v>12.7</v>
      </c>
      <c r="AA131" t="n">
        <v>19.4</v>
      </c>
    </row>
    <row r="132">
      <c r="A132" t="inlineStr">
        <is>
          <t>Virginia Tech</t>
        </is>
      </c>
      <c r="B132" t="n">
        <v>3</v>
      </c>
      <c r="C132" t="n">
        <v>769.12</v>
      </c>
      <c r="D132">
        <f>IFERROR(INDEX('Power Ratings'!$L$2:$L$139,MATCH($A132,'Power Ratings'!$B$2:$B$139,0)),"")</f>
        <v/>
      </c>
      <c r="E132" t="n">
        <v>11.616</v>
      </c>
      <c r="F132" t="n">
        <v>12.4</v>
      </c>
      <c r="G132" t="n">
        <v>0</v>
      </c>
      <c r="H132" t="n">
        <v>33.8</v>
      </c>
      <c r="I132" t="n">
        <v>0.34</v>
      </c>
      <c r="J132" t="n">
        <v>6.35</v>
      </c>
      <c r="K132" t="n">
        <v>0.092</v>
      </c>
      <c r="L132" t="n">
        <v>0.502</v>
      </c>
      <c r="M132" t="n">
        <v>81</v>
      </c>
      <c r="N132" t="inlineStr">
        <is>
          <t>34:32</t>
        </is>
      </c>
      <c r="O132" t="n">
        <v>21.2</v>
      </c>
      <c r="P132" t="n">
        <v>-0.04</v>
      </c>
      <c r="Q132" t="n">
        <v>4.74</v>
      </c>
      <c r="R132" t="n">
        <v>0.279</v>
      </c>
      <c r="S132" t="n">
        <v>0.32</v>
      </c>
      <c r="T132" t="n">
        <v>40</v>
      </c>
      <c r="U132" t="n">
        <v>-0.2</v>
      </c>
      <c r="V132" t="inlineStr">
        <is>
          <t>4/4</t>
        </is>
      </c>
      <c r="W132" t="n">
        <v>44.7</v>
      </c>
      <c r="X132" t="n">
        <v>22</v>
      </c>
      <c r="Y132" t="n">
        <v>15.5</v>
      </c>
    </row>
    <row r="133">
      <c r="A133" t="inlineStr">
        <is>
          <t>Wake Forest</t>
        </is>
      </c>
      <c r="B133" t="n">
        <v>3</v>
      </c>
      <c r="C133" t="n">
        <v>680.87</v>
      </c>
      <c r="D133">
        <f>IFERROR(INDEX('Power Ratings'!$L$2:$L$139,MATCH($A133,'Power Ratings'!$B$2:$B$139,0)),"")</f>
        <v/>
      </c>
      <c r="E133" t="n">
        <v>4.626</v>
      </c>
      <c r="F133" t="n">
        <v>3.6</v>
      </c>
      <c r="G133" t="n">
        <v>0</v>
      </c>
      <c r="H133" t="n">
        <v>26.4</v>
      </c>
      <c r="I133" t="n">
        <v>0.3</v>
      </c>
      <c r="J133" t="n">
        <v>6.59</v>
      </c>
      <c r="K133" t="n">
        <v>0.124</v>
      </c>
      <c r="L133" t="n">
        <v>0.458</v>
      </c>
      <c r="M133" t="n">
        <v>65</v>
      </c>
      <c r="N133" t="inlineStr">
        <is>
          <t>27:56</t>
        </is>
      </c>
      <c r="O133" t="n">
        <v>22.8</v>
      </c>
      <c r="P133" t="n">
        <v>0.18</v>
      </c>
      <c r="Q133" t="n">
        <v>5.2</v>
      </c>
      <c r="R133" t="n">
        <v>0.113</v>
      </c>
      <c r="S133" t="n">
        <v>0.482</v>
      </c>
      <c r="T133" t="n">
        <v>72</v>
      </c>
      <c r="U133" t="n">
        <v>0</v>
      </c>
      <c r="V133" t="inlineStr">
        <is>
          <t>6/7</t>
        </is>
      </c>
      <c r="W133" t="n">
        <v>45.1</v>
      </c>
      <c r="X133" t="n">
        <v>14.5</v>
      </c>
      <c r="Y133" t="n">
        <v>20.2</v>
      </c>
      <c r="Z133" t="n">
        <v>0</v>
      </c>
      <c r="AA133" t="n">
        <v>16.8</v>
      </c>
    </row>
    <row r="134">
      <c r="A134" t="inlineStr">
        <is>
          <t>Washington</t>
        </is>
      </c>
      <c r="B134" t="n">
        <v>3</v>
      </c>
      <c r="C134" t="n">
        <v>777.63</v>
      </c>
      <c r="D134">
        <f>IFERROR(INDEX('Power Ratings'!$L$2:$L$139,MATCH($A134,'Power Ratings'!$B$2:$B$139,0)),"")</f>
        <v/>
      </c>
      <c r="E134" t="n">
        <v>5.822</v>
      </c>
      <c r="F134" t="n">
        <v>12.8</v>
      </c>
      <c r="G134" t="n">
        <v>6</v>
      </c>
      <c r="H134" t="n">
        <v>30.7</v>
      </c>
      <c r="I134" t="n">
        <v>0.17</v>
      </c>
      <c r="J134" t="n">
        <v>6.52</v>
      </c>
      <c r="K134" t="n">
        <v>0.089</v>
      </c>
      <c r="L134" t="n">
        <v>0.463</v>
      </c>
      <c r="M134" t="n">
        <v>61</v>
      </c>
      <c r="N134" t="inlineStr">
        <is>
          <t>31:23</t>
        </is>
      </c>
      <c r="O134" t="n">
        <v>17.7</v>
      </c>
      <c r="P134" t="n">
        <v>-0.21</v>
      </c>
      <c r="Q134" t="n">
        <v>4.38</v>
      </c>
      <c r="R134" t="n">
        <v>0.229</v>
      </c>
      <c r="S134" t="n">
        <v>0.328</v>
      </c>
      <c r="T134" t="n">
        <v>54</v>
      </c>
      <c r="U134" t="n">
        <v>-0.3</v>
      </c>
      <c r="V134" t="inlineStr">
        <is>
          <t>6/8</t>
        </is>
      </c>
      <c r="W134" t="n">
        <v>45.8</v>
      </c>
      <c r="X134" t="n">
        <v>5.8</v>
      </c>
      <c r="Y134" t="n">
        <v>18.8</v>
      </c>
      <c r="Z134" t="n">
        <v>13.3</v>
      </c>
      <c r="AA134" t="n">
        <v>14.8</v>
      </c>
    </row>
    <row r="135">
      <c r="A135" t="inlineStr">
        <is>
          <t>Washington State</t>
        </is>
      </c>
      <c r="B135" t="n">
        <v>3</v>
      </c>
      <c r="C135" t="n">
        <v>630.29</v>
      </c>
      <c r="D135">
        <f>IFERROR(INDEX('Power Ratings'!$L$2:$L$139,MATCH($A135,'Power Ratings'!$B$2:$B$139,0)),"")</f>
        <v/>
      </c>
      <c r="E135" t="n">
        <v>-6.976</v>
      </c>
      <c r="F135" t="n">
        <v>-5.6</v>
      </c>
      <c r="G135" t="n">
        <v>-3</v>
      </c>
      <c r="H135" t="n">
        <v>19.8</v>
      </c>
      <c r="I135" t="n">
        <v>-0.02</v>
      </c>
      <c r="J135" t="n">
        <v>5.48</v>
      </c>
      <c r="K135" t="n">
        <v>0.208</v>
      </c>
      <c r="L135" t="n">
        <v>0.382</v>
      </c>
      <c r="M135" t="n">
        <v>54</v>
      </c>
      <c r="N135" t="inlineStr">
        <is>
          <t>28:13</t>
        </is>
      </c>
      <c r="O135" t="n">
        <v>25.3</v>
      </c>
      <c r="P135" t="n">
        <v>-0.03</v>
      </c>
      <c r="Q135" t="n">
        <v>5.6</v>
      </c>
      <c r="R135" t="n">
        <v>0.124</v>
      </c>
      <c r="S135" t="n">
        <v>0.389</v>
      </c>
      <c r="T135" t="n">
        <v>54</v>
      </c>
      <c r="U135" t="n">
        <v>-0.2</v>
      </c>
      <c r="V135" t="inlineStr">
        <is>
          <t>1/5</t>
        </is>
      </c>
      <c r="W135" t="n">
        <v>44.8</v>
      </c>
      <c r="X135" t="n">
        <v>16</v>
      </c>
      <c r="Y135" t="n">
        <v>-2</v>
      </c>
      <c r="Z135" t="n">
        <v>13</v>
      </c>
      <c r="AA135" t="n">
        <v>21</v>
      </c>
    </row>
    <row r="136">
      <c r="A136" t="inlineStr">
        <is>
          <t>West Virginia</t>
        </is>
      </c>
      <c r="B136" t="n">
        <v>3</v>
      </c>
      <c r="C136" t="n">
        <v>707.6</v>
      </c>
      <c r="D136">
        <f>IFERROR(INDEX('Power Ratings'!$L$2:$L$139,MATCH($A136,'Power Ratings'!$B$2:$B$139,0)),"")</f>
        <v/>
      </c>
      <c r="E136" t="n">
        <v>5.304</v>
      </c>
      <c r="F136" t="n">
        <v>3.8</v>
      </c>
      <c r="G136" t="n">
        <v>2</v>
      </c>
      <c r="H136" t="n">
        <v>29.2</v>
      </c>
      <c r="I136" t="n">
        <v>0.28</v>
      </c>
      <c r="J136" t="n">
        <v>6.67</v>
      </c>
      <c r="K136" t="n">
        <v>0.08599999999999999</v>
      </c>
      <c r="L136" t="n">
        <v>0.455</v>
      </c>
      <c r="M136" t="n">
        <v>62</v>
      </c>
      <c r="N136" t="inlineStr">
        <is>
          <t>28:22</t>
        </is>
      </c>
      <c r="O136" t="n">
        <v>25.5</v>
      </c>
      <c r="P136" t="n">
        <v>0.03</v>
      </c>
      <c r="Q136" t="n">
        <v>5.38</v>
      </c>
      <c r="R136" t="n">
        <v>0.181</v>
      </c>
      <c r="S136" t="n">
        <v>0.405</v>
      </c>
      <c r="T136" t="n">
        <v>58</v>
      </c>
      <c r="U136" t="n">
        <v>0.1</v>
      </c>
      <c r="V136" t="inlineStr">
        <is>
          <t>3/3</t>
        </is>
      </c>
      <c r="W136" t="n">
        <v>40.9</v>
      </c>
      <c r="X136" t="n">
        <v>8.300000000000001</v>
      </c>
      <c r="Y136" t="n">
        <v>19</v>
      </c>
    </row>
    <row r="137">
      <c r="A137" t="inlineStr">
        <is>
          <t>Western Kentucky</t>
        </is>
      </c>
      <c r="B137" t="n">
        <v>3</v>
      </c>
      <c r="C137" t="n">
        <v>611.52</v>
      </c>
      <c r="D137">
        <f>IFERROR(INDEX('Power Ratings'!$L$2:$L$139,MATCH($A137,'Power Ratings'!$B$2:$B$139,0)),"")</f>
        <v/>
      </c>
      <c r="E137" t="n">
        <v>-14.322</v>
      </c>
      <c r="F137" t="n">
        <v>-16.5</v>
      </c>
      <c r="G137" t="n">
        <v>-4</v>
      </c>
      <c r="H137" t="n">
        <v>20.2</v>
      </c>
      <c r="I137" t="n">
        <v>-0.15</v>
      </c>
      <c r="J137" t="n">
        <v>3.59</v>
      </c>
      <c r="K137" t="n">
        <v>0.178</v>
      </c>
      <c r="L137" t="n">
        <v>0.329</v>
      </c>
      <c r="M137" t="n">
        <v>50</v>
      </c>
      <c r="N137" t="inlineStr">
        <is>
          <t>29:36</t>
        </is>
      </c>
      <c r="O137" t="n">
        <v>37.1</v>
      </c>
      <c r="P137" t="n">
        <v>0.45</v>
      </c>
      <c r="Q137" t="n">
        <v>8.109999999999999</v>
      </c>
      <c r="R137" t="n">
        <v>0.101</v>
      </c>
      <c r="S137" t="n">
        <v>0.497</v>
      </c>
      <c r="T137" t="n">
        <v>62</v>
      </c>
      <c r="U137" t="n">
        <v>0.3</v>
      </c>
      <c r="W137" t="n">
        <v>43.5</v>
      </c>
      <c r="X137" t="n">
        <v>10</v>
      </c>
      <c r="Y137" t="n">
        <v>13.3</v>
      </c>
      <c r="Z137" t="n">
        <v>10.5</v>
      </c>
      <c r="AA137" t="n">
        <v>28.3</v>
      </c>
    </row>
    <row r="138">
      <c r="A138" t="inlineStr">
        <is>
          <t>Western Michigan</t>
        </is>
      </c>
      <c r="B138" t="n">
        <v>3</v>
      </c>
      <c r="C138" t="n">
        <v>572.2</v>
      </c>
      <c r="D138">
        <f>IFERROR(INDEX('Power Ratings'!$L$2:$L$139,MATCH($A138,'Power Ratings'!$B$2:$B$139,0)),"")</f>
        <v/>
      </c>
      <c r="E138" t="n">
        <v>-0.013</v>
      </c>
      <c r="F138" t="n">
        <v>-2.6</v>
      </c>
      <c r="G138" t="n">
        <v>4</v>
      </c>
      <c r="H138" t="n">
        <v>21.2</v>
      </c>
      <c r="I138" t="n">
        <v>0.16</v>
      </c>
      <c r="J138" t="n">
        <v>5.18</v>
      </c>
      <c r="K138" t="n">
        <v>0.13</v>
      </c>
      <c r="L138" t="n">
        <v>0.404</v>
      </c>
      <c r="M138" t="n">
        <v>57</v>
      </c>
      <c r="N138" t="inlineStr">
        <is>
          <t>33:43</t>
        </is>
      </c>
      <c r="O138" t="n">
        <v>23.6</v>
      </c>
      <c r="P138" t="n">
        <v>0.01</v>
      </c>
      <c r="Q138" t="n">
        <v>5.18</v>
      </c>
      <c r="R138" t="n">
        <v>0.129</v>
      </c>
      <c r="S138" t="n">
        <v>0.446</v>
      </c>
      <c r="T138" t="n">
        <v>59</v>
      </c>
      <c r="U138" t="n">
        <v>-0.3</v>
      </c>
      <c r="V138" t="inlineStr">
        <is>
          <t>4/4</t>
        </is>
      </c>
      <c r="W138" t="n">
        <v>43.6</v>
      </c>
      <c r="X138" t="n">
        <v>14</v>
      </c>
      <c r="Y138" t="n">
        <v>12</v>
      </c>
      <c r="Z138" t="n">
        <v>4.5</v>
      </c>
      <c r="AA138" t="n">
        <v>12.7</v>
      </c>
    </row>
    <row r="139">
      <c r="A139" t="inlineStr">
        <is>
          <t>Wisconsin</t>
        </is>
      </c>
      <c r="B139" t="n">
        <v>3</v>
      </c>
      <c r="C139" t="n">
        <v>767.6799999999999</v>
      </c>
      <c r="D139">
        <f>IFERROR(INDEX('Power Ratings'!$L$2:$L$139,MATCH($A139,'Power Ratings'!$B$2:$B$139,0)),"")</f>
        <v/>
      </c>
      <c r="E139" t="n">
        <v>4.822</v>
      </c>
      <c r="F139" t="n">
        <v>5.1</v>
      </c>
      <c r="G139" t="n">
        <v>0</v>
      </c>
      <c r="H139" t="n">
        <v>23.4</v>
      </c>
      <c r="I139" t="n">
        <v>0.21</v>
      </c>
      <c r="J139" t="n">
        <v>6.6</v>
      </c>
      <c r="K139" t="n">
        <v>0.144</v>
      </c>
      <c r="L139" t="n">
        <v>0.444</v>
      </c>
      <c r="M139" t="n">
        <v>55</v>
      </c>
      <c r="N139" t="inlineStr">
        <is>
          <t>28:15</t>
        </is>
      </c>
      <c r="O139" t="n">
        <v>18.2</v>
      </c>
      <c r="P139" t="n">
        <v>-0.01</v>
      </c>
      <c r="Q139" t="n">
        <v>4.74</v>
      </c>
      <c r="R139" t="n">
        <v>0.147</v>
      </c>
      <c r="S139" t="n">
        <v>0.372</v>
      </c>
      <c r="T139" t="n">
        <v>50</v>
      </c>
      <c r="U139" t="n">
        <v>-0.2</v>
      </c>
      <c r="V139" t="inlineStr">
        <is>
          <t>7/7</t>
        </is>
      </c>
      <c r="W139" t="n">
        <v>45.4</v>
      </c>
      <c r="X139" t="n">
        <v>17</v>
      </c>
      <c r="Y139" t="n">
        <v>25.3</v>
      </c>
      <c r="Z139" t="n">
        <v>12</v>
      </c>
      <c r="AA139" t="n">
        <v>17.2</v>
      </c>
    </row>
    <row r="140">
      <c r="A140" t="inlineStr">
        <is>
          <t>Wyoming</t>
        </is>
      </c>
      <c r="B140" t="n">
        <v>3</v>
      </c>
      <c r="C140" t="n">
        <v>528.29</v>
      </c>
      <c r="D140">
        <f>IFERROR(INDEX('Power Ratings'!$L$2:$L$139,MATCH($A140,'Power Ratings'!$B$2:$B$139,0)),"")</f>
        <v/>
      </c>
      <c r="E140" t="n">
        <v>-19.651</v>
      </c>
      <c r="F140" t="n">
        <v>-15</v>
      </c>
      <c r="G140" t="n">
        <v>-6</v>
      </c>
      <c r="H140" t="n">
        <v>13.4</v>
      </c>
      <c r="I140" t="n">
        <v>0.04</v>
      </c>
      <c r="J140" t="n">
        <v>5.34</v>
      </c>
      <c r="K140" t="n">
        <v>0.174</v>
      </c>
      <c r="L140" t="n">
        <v>0.421</v>
      </c>
      <c r="M140" t="n">
        <v>50</v>
      </c>
      <c r="N140" t="inlineStr">
        <is>
          <t>27:55</t>
        </is>
      </c>
      <c r="O140" t="n">
        <v>28</v>
      </c>
      <c r="P140" t="n">
        <v>0.14</v>
      </c>
      <c r="Q140" t="n">
        <v>5.7</v>
      </c>
      <c r="R140" t="n">
        <v>0.118</v>
      </c>
      <c r="S140" t="n">
        <v>0.451</v>
      </c>
      <c r="T140" t="n">
        <v>55</v>
      </c>
      <c r="U140" t="n">
        <v>-0.5</v>
      </c>
      <c r="V140" t="inlineStr">
        <is>
          <t>3/3</t>
        </is>
      </c>
      <c r="W140" t="n">
        <v>48.5</v>
      </c>
      <c r="X140" t="n">
        <v>3.5</v>
      </c>
      <c r="Y140" t="n">
        <v>25</v>
      </c>
      <c r="Z140" t="n">
        <v>11.2</v>
      </c>
      <c r="AA14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57" t="inlineStr">
        <is>
          <t>Matchup Predictor</t>
        </is>
      </c>
    </row>
    <row r="2" ht="6" customHeight="1"/>
    <row r="3" ht="20" customHeight="1">
      <c r="A3" s="59" t="inlineStr">
        <is>
          <t>MATCHUP INPUTS</t>
        </is>
      </c>
    </row>
    <row r="4">
      <c r="A4" s="60" t="inlineStr">
        <is>
          <t>Team 1 (visitor)</t>
        </is>
      </c>
      <c r="B4" s="61" t="inlineStr">
        <is>
          <t>Cincinnati</t>
        </is>
      </c>
    </row>
    <row r="5">
      <c r="A5" s="60" t="inlineStr">
        <is>
          <t>Team 2 (home team)</t>
        </is>
      </c>
      <c r="B5" s="61" t="inlineStr">
        <is>
          <t>Miami</t>
        </is>
      </c>
    </row>
    <row r="6">
      <c r="A6" s="60" t="inlineStr">
        <is>
          <t>Neutral site? (Y/N)</t>
        </is>
      </c>
      <c r="B6" s="61" t="inlineStr">
        <is>
          <t>N</t>
        </is>
      </c>
    </row>
    <row r="7">
      <c r="A7" s="60" t="inlineStr">
        <is>
          <t>Kickoff</t>
        </is>
      </c>
      <c r="B7" s="78">
        <f>IFERROR(INDEX(Schedule!$A$2:$A$2001,MATCH(IF($B$4&lt;$B$5,$B$4&amp;"|"&amp;$B$5,$B$5&amp;"|"&amp;$B$4),Schedule!$G$2:$G$2001,0)),"Not on the schedule")</f>
        <v/>
      </c>
      <c r="C7" s="76" t="n"/>
      <c r="D7" s="77" t="n"/>
    </row>
    <row r="8" ht="20" customHeight="1">
      <c r="A8" s="59" t="inlineStr">
        <is>
          <t>POWER RATINGS</t>
        </is>
      </c>
    </row>
    <row r="9">
      <c r="A9" s="60" t="inlineStr">
        <is>
          <t>Team 1 power rating</t>
        </is>
      </c>
      <c r="B9" s="63">
        <f>INDEX('Power Ratings'!$O$2:$O$139,MATCH($B$4,'Power Ratings'!$B$2:$B$139,0))</f>
        <v/>
      </c>
    </row>
    <row r="10">
      <c r="A10" s="60" t="inlineStr">
        <is>
          <t>Team 2 power rating</t>
        </is>
      </c>
      <c r="B10" s="63">
        <f>INDEX('Power Ratings'!$O$2:$O$139,MATCH($B$5,'Power Ratings'!$B$2:$B$139,0))</f>
        <v/>
      </c>
    </row>
    <row r="12" ht="20" customHeight="1">
      <c r="A12" s="59" t="inlineStr">
        <is>
          <t>OUR PROJECTED SPREAD</t>
        </is>
      </c>
    </row>
    <row r="13">
      <c r="A13" s="60" t="inlineStr">
        <is>
          <t>Neutral-field spread (Team 2)</t>
        </is>
      </c>
      <c r="B13" s="63">
        <f>ROUND((B10-B9)*2,0)/2</f>
        <v/>
      </c>
    </row>
    <row r="14">
      <c r="A14" s="60" t="inlineStr">
        <is>
          <t>Home-field spread (Team 2 home)</t>
        </is>
      </c>
      <c r="B14" s="63">
        <f>ROUND((B13+'Weights &amp; Params'!$B$12)*2,0)/2</f>
        <v/>
      </c>
    </row>
    <row r="15">
      <c r="A15" s="60" t="inlineStr">
        <is>
          <t>Spread for this game (Team 2)</t>
        </is>
      </c>
      <c r="B15" s="63">
        <f>IF(LEFT(UPPER($B$6),1)="Y",B13,B14)</f>
        <v/>
      </c>
    </row>
    <row r="16">
      <c r="A16" s="60" t="inlineStr">
        <is>
          <t>Model line (Team 2)</t>
        </is>
      </c>
      <c r="B16" s="63">
        <f>-B15</f>
        <v/>
      </c>
    </row>
    <row r="18" ht="20" customHeight="1">
      <c r="A18" s="59" t="inlineStr">
        <is>
          <t>VS VEGAS</t>
        </is>
      </c>
    </row>
    <row r="19">
      <c r="A19" s="60" t="inlineStr">
        <is>
          <t>Vegas line (Team 2 / home)</t>
        </is>
      </c>
      <c r="B19" s="66" t="n">
        <v>-5.5</v>
      </c>
    </row>
    <row r="20">
      <c r="A20" s="60" t="inlineStr">
        <is>
          <t>Edge vs Vegas</t>
        </is>
      </c>
      <c r="B20" s="63">
        <f>B15+B19</f>
        <v/>
      </c>
    </row>
    <row r="22" ht="20" customHeight="1">
      <c r="A22" s="59" t="inlineStr">
        <is>
          <t>THE CALL  -  COVER</t>
        </is>
      </c>
    </row>
    <row r="23">
      <c r="A23" s="60" t="inlineStr">
        <is>
          <t>Cover pick</t>
        </is>
      </c>
      <c r="B23" s="64">
        <f>IF(B20&gt;0,B5,IF(B20&lt;0,B4,"Pick'em"))</f>
        <v/>
      </c>
    </row>
    <row r="24">
      <c r="A24" s="60" t="inlineStr">
        <is>
          <t>Confidence to cover</t>
        </is>
      </c>
      <c r="B24" s="65">
        <f>MIN(0.99,NORMSDIST(ABS(B20)/'Weights &amp; Params'!$B$13))</f>
        <v/>
      </c>
    </row>
    <row r="25">
      <c r="A25" s="60" t="inlineStr">
        <is>
          <t>Underdog (per Vegas)</t>
        </is>
      </c>
      <c r="B25" s="64">
        <f>IF(B19&lt;0,B4,IF(B19&gt;0,B5,"Pick'em"))</f>
        <v/>
      </c>
    </row>
    <row r="26">
      <c r="A26" s="60" t="inlineStr">
        <is>
          <t>P(underdog covers)</t>
        </is>
      </c>
      <c r="B26" s="65">
        <f>MIN(0.99,IF(B19&gt;0,NORMSDIST(B20/'Weights &amp; Params'!$B$13),1-NORMSDIST(B20/'Weights &amp; Params'!$B$13)))</f>
        <v/>
      </c>
    </row>
    <row r="27">
      <c r="A27" s="60" t="inlineStr">
        <is>
          <t>P(underdog wins outright)</t>
        </is>
      </c>
      <c r="B27" s="65">
        <f>MIN(0.99,NORMSDIST(IF(B19&gt;0,B15,-B15)/'Weights &amp; Params'!$B$13))</f>
        <v/>
      </c>
    </row>
    <row r="29">
      <c r="B29" s="67">
        <f>"Edge of "&amp;TEXT(ABS(B20),"0.0")&amp;" pts on "&amp;B23&amp;" vs the "&amp;TEXT(B19,"+0.0;-0.0")&amp;" line"</f>
        <v/>
      </c>
    </row>
    <row r="30" ht="38" customHeight="1">
      <c r="A30" s="68">
        <f>TEXT(B24,"0%")&amp;"   -   "&amp;B23&amp;" to COVER "&amp;TEXT(IF(B20&gt;0,B19,-B19),"+0.0;-0.0")</f>
        <v/>
      </c>
    </row>
    <row r="31" ht="20" customHeight="1">
      <c r="A31" s="69">
        <f>IF(B24&gt;=0.75,"STRONG lean",IF(B24&gt;=0.65,"Lean",IF(B24&gt;=0.57,"Slight lean","Coin flip - pass")))</f>
        <v/>
      </c>
    </row>
  </sheetData>
  <mergeCells count="10">
    <mergeCell ref="B29:F29"/>
    <mergeCell ref="A1:F1"/>
    <mergeCell ref="A8:F8"/>
    <mergeCell ref="A31:F31"/>
    <mergeCell ref="A22:F22"/>
    <mergeCell ref="A12:F12"/>
    <mergeCell ref="A18:F18"/>
    <mergeCell ref="A3:F3"/>
    <mergeCell ref="A30:F30"/>
    <mergeCell ref="B7:D7"/>
  </mergeCells>
  <dataValidations count="2">
    <dataValidation sqref="B4 B5" showDropDown="0" showInputMessage="0" showErrorMessage="0" allowBlank="0" type="list">
      <formula1>=TeamList</formula1>
    </dataValidation>
    <dataValidation sqref="B6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  <col width="15" customWidth="1" min="8" max="8"/>
    <col width="11" customWidth="1" min="9" max="9"/>
    <col width="9" customWidth="1" min="10" max="10"/>
    <col width="6" customWidth="1" min="12" max="12"/>
    <col width="30" customWidth="1" min="13" max="13"/>
    <col width="9" customWidth="1" min="14" max="14"/>
    <col width="16" customWidth="1" min="15" max="15"/>
    <col width="11" customWidth="1" min="16" max="16"/>
    <col width="5" customWidth="1" min="17" max="17"/>
  </cols>
  <sheetData>
    <row r="1" ht="30" customHeight="1">
      <c r="A1" s="1" t="inlineStr">
        <is>
          <t>Full-Slate Edge Board</t>
        </is>
      </c>
    </row>
    <row r="2" ht="6" customHeight="1">
      <c r="A2" s="71" t="n"/>
    </row>
    <row r="3">
      <c r="A3" s="18" t="inlineStr">
        <is>
          <t>Away</t>
        </is>
      </c>
      <c r="B3" s="18" t="inlineStr">
        <is>
          <t>Home</t>
        </is>
      </c>
      <c r="C3" s="18" t="inlineStr">
        <is>
          <t>Vegas (home)</t>
        </is>
      </c>
      <c r="D3" s="18" t="inlineStr">
        <is>
          <t>Proj Home Margin</t>
        </is>
      </c>
      <c r="E3" s="18" t="inlineStr">
        <is>
          <t>Model Line</t>
        </is>
      </c>
      <c r="F3" s="18" t="inlineStr">
        <is>
          <t>Edge</t>
        </is>
      </c>
      <c r="G3" s="18" t="inlineStr">
        <is>
          <t>|edge| key</t>
        </is>
      </c>
      <c r="H3" s="18" t="inlineStr">
        <is>
          <t>Lean</t>
        </is>
      </c>
      <c r="I3" s="18" t="inlineStr">
        <is>
          <t>Confidence</t>
        </is>
      </c>
      <c r="J3" s="18" t="inlineStr">
        <is>
          <t>Upset?</t>
        </is>
      </c>
      <c r="K3" s="18" t="inlineStr">
        <is>
          <t>Neutral? Y/N</t>
        </is>
      </c>
      <c r="L3" s="18" t="inlineStr">
        <is>
          <t>Rank</t>
        </is>
      </c>
      <c r="M3" s="18" t="inlineStr">
        <is>
          <t>Matchup</t>
        </is>
      </c>
      <c r="N3" s="18" t="inlineStr">
        <is>
          <t>Edge</t>
        </is>
      </c>
      <c r="O3" s="18" t="inlineStr">
        <is>
          <t>Lean</t>
        </is>
      </c>
      <c r="P3" s="18" t="inlineStr">
        <is>
          <t>Confidence</t>
        </is>
      </c>
    </row>
    <row r="4">
      <c r="A4" s="19" t="inlineStr">
        <is>
          <t>Ohio State</t>
        </is>
      </c>
      <c r="B4" s="19" t="inlineStr">
        <is>
          <t>Michigan</t>
        </is>
      </c>
      <c r="C4" s="20" t="n">
        <v>-3.5</v>
      </c>
      <c r="D4" s="31">
        <f>IF(OR(A4="",B4=""),"",ROUND((INDEX('Power Ratings'!$O$2:$O$139,MATCH(B4,'Power Ratings'!$B$2:$B$139,0))-INDEX('Power Ratings'!$O$2:$O$139,MATCH(A4,'Power Ratings'!$B$2:$B$139,0))+IF(LEFT(UPPER(K4),1)="Y",0,'Weights &amp; Params'!$B$12))*2,0)/2)</f>
        <v/>
      </c>
      <c r="E4" s="50">
        <f>IF(D4="","",-D4)</f>
        <v/>
      </c>
      <c r="F4" s="50">
        <f>IF(OR(A4="",B4="",C4=""),"",D4+C4)</f>
        <v/>
      </c>
      <c r="G4" s="51">
        <f>IF(F4="","",ABS(F4)+(1000-ROW())*0.0000001)</f>
        <v/>
      </c>
      <c r="H4" s="23">
        <f>IF(F4="","",IF(F4&gt;=0,B4,A4))</f>
        <v/>
      </c>
      <c r="I4" s="24">
        <f>IF(F4="","",MIN(0.99,NORMSDIST(ABS(F4)/'Weights &amp; Params'!$B$13)))</f>
        <v/>
      </c>
      <c r="J4" s="25">
        <f>IF(F4="","",IF(IF(D4&gt;=0,B4,A4)&lt;&gt;IF(C4&lt;0,B4,A4),"UPSET","-"))</f>
        <v/>
      </c>
      <c r="L4" s="12">
        <f>IF($Q4="","",1)</f>
        <v/>
      </c>
      <c r="M4" s="26">
        <f>IF($Q4="","",INDEX($A$4:$A$33,$Q4)&amp;" @ "&amp;INDEX($B$4:$B$33,$Q4))</f>
        <v/>
      </c>
      <c r="N4" s="52">
        <f>IF($Q4="","",INDEX($F$4:$F$33,$Q4))</f>
        <v/>
      </c>
      <c r="O4" s="26">
        <f>IF($Q4="","",INDEX($H$4:$H$33,$Q4))</f>
        <v/>
      </c>
      <c r="P4" s="28">
        <f>IF($Q4="","",INDEX($I$4:$I$33,$Q4))</f>
        <v/>
      </c>
      <c r="Q4" s="29">
        <f>IFERROR(MATCH(LARGE($G$4:$G$33,1),$G$4:$G$33,0),"")</f>
        <v/>
      </c>
    </row>
    <row r="5">
      <c r="A5" s="19" t="inlineStr">
        <is>
          <t>Alabama</t>
        </is>
      </c>
      <c r="B5" s="19" t="inlineStr">
        <is>
          <t>Georgia</t>
        </is>
      </c>
      <c r="C5" s="20" t="n">
        <v>2.5</v>
      </c>
      <c r="D5" s="31">
        <f>IF(OR(A5="",B5=""),"",ROUND((INDEX('Power Ratings'!$O$2:$O$139,MATCH(B5,'Power Ratings'!$B$2:$B$139,0))-INDEX('Power Ratings'!$O$2:$O$139,MATCH(A5,'Power Ratings'!$B$2:$B$139,0))+IF(LEFT(UPPER(K5),1)="Y",0,'Weights &amp; Params'!$B$12))*2,0)/2)</f>
        <v/>
      </c>
      <c r="E5" s="50">
        <f>IF(D5="","",-D5)</f>
        <v/>
      </c>
      <c r="F5" s="50">
        <f>IF(OR(A5="",B5="",C5=""),"",D5+C5)</f>
        <v/>
      </c>
      <c r="G5" s="51">
        <f>IF(F5="","",ABS(F5)+(1000-ROW())*0.0000001)</f>
        <v/>
      </c>
      <c r="H5" s="23">
        <f>IF(F5="","",IF(F5&gt;=0,B5,A5))</f>
        <v/>
      </c>
      <c r="I5" s="24">
        <f>IF(F5="","",MIN(0.99,NORMSDIST(ABS(F5)/'Weights &amp; Params'!$B$13)))</f>
        <v/>
      </c>
      <c r="J5" s="25">
        <f>IF(F5="","",IF(IF(D5&gt;=0,B5,A5)&lt;&gt;IF(C5&lt;0,B5,A5),"UPSET","-"))</f>
        <v/>
      </c>
      <c r="L5" s="12">
        <f>IF($Q5="","",2)</f>
        <v/>
      </c>
      <c r="M5" s="26">
        <f>IF($Q5="","",INDEX($A$4:$A$33,$Q5)&amp;" @ "&amp;INDEX($B$4:$B$33,$Q5))</f>
        <v/>
      </c>
      <c r="N5" s="52">
        <f>IF($Q5="","",INDEX($F$4:$F$33,$Q5))</f>
        <v/>
      </c>
      <c r="O5" s="26">
        <f>IF($Q5="","",INDEX($H$4:$H$33,$Q5))</f>
        <v/>
      </c>
      <c r="P5" s="28">
        <f>IF($Q5="","",INDEX($I$4:$I$33,$Q5))</f>
        <v/>
      </c>
      <c r="Q5" s="29">
        <f>IFERROR(MATCH(LARGE($G$4:$G$33,2),$G$4:$G$33,0),"")</f>
        <v/>
      </c>
    </row>
    <row r="6">
      <c r="A6" s="19" t="inlineStr">
        <is>
          <t>Oklahoma</t>
        </is>
      </c>
      <c r="B6" s="19" t="inlineStr">
        <is>
          <t>Texas</t>
        </is>
      </c>
      <c r="C6" s="20" t="n">
        <v>6.5</v>
      </c>
      <c r="D6" s="31">
        <f>IF(OR(A6="",B6=""),"",ROUND((INDEX('Power Ratings'!$O$2:$O$139,MATCH(B6,'Power Ratings'!$B$2:$B$139,0))-INDEX('Power Ratings'!$O$2:$O$139,MATCH(A6,'Power Ratings'!$B$2:$B$139,0))+IF(LEFT(UPPER(K6),1)="Y",0,'Weights &amp; Params'!$B$12))*2,0)/2)</f>
        <v/>
      </c>
      <c r="E6" s="50">
        <f>IF(D6="","",-D6)</f>
        <v/>
      </c>
      <c r="F6" s="50">
        <f>IF(OR(A6="",B6="",C6=""),"",D6+C6)</f>
        <v/>
      </c>
      <c r="G6" s="51">
        <f>IF(F6="","",ABS(F6)+(1000-ROW())*0.0000001)</f>
        <v/>
      </c>
      <c r="H6" s="23">
        <f>IF(F6="","",IF(F6&gt;=0,B6,A6))</f>
        <v/>
      </c>
      <c r="I6" s="24">
        <f>IF(F6="","",MIN(0.99,NORMSDIST(ABS(F6)/'Weights &amp; Params'!$B$13)))</f>
        <v/>
      </c>
      <c r="J6" s="25">
        <f>IF(F6="","",IF(IF(D6&gt;=0,B6,A6)&lt;&gt;IF(C6&lt;0,B6,A6),"UPSET","-"))</f>
        <v/>
      </c>
      <c r="L6" s="12">
        <f>IF($Q6="","",3)</f>
        <v/>
      </c>
      <c r="M6" s="26">
        <f>IF($Q6="","",INDEX($A$4:$A$33,$Q6)&amp;" @ "&amp;INDEX($B$4:$B$33,$Q6))</f>
        <v/>
      </c>
      <c r="N6" s="52">
        <f>IF($Q6="","",INDEX($F$4:$F$33,$Q6))</f>
        <v/>
      </c>
      <c r="O6" s="26">
        <f>IF($Q6="","",INDEX($H$4:$H$33,$Q6))</f>
        <v/>
      </c>
      <c r="P6" s="28">
        <f>IF($Q6="","",INDEX($I$4:$I$33,$Q6))</f>
        <v/>
      </c>
      <c r="Q6" s="29">
        <f>IFERROR(MATCH(LARGE($G$4:$G$33,3),$G$4:$G$33,0),"")</f>
        <v/>
      </c>
    </row>
    <row r="7">
      <c r="A7" s="19" t="inlineStr">
        <is>
          <t>Washington</t>
        </is>
      </c>
      <c r="B7" s="19" t="inlineStr">
        <is>
          <t>Oregon</t>
        </is>
      </c>
      <c r="C7" s="20" t="n">
        <v>-9.5</v>
      </c>
      <c r="D7" s="31">
        <f>IF(OR(A7="",B7=""),"",ROUND((INDEX('Power Ratings'!$O$2:$O$139,MATCH(B7,'Power Ratings'!$B$2:$B$139,0))-INDEX('Power Ratings'!$O$2:$O$139,MATCH(A7,'Power Ratings'!$B$2:$B$139,0))+IF(LEFT(UPPER(K7),1)="Y",0,'Weights &amp; Params'!$B$12))*2,0)/2)</f>
        <v/>
      </c>
      <c r="E7" s="50">
        <f>IF(D7="","",-D7)</f>
        <v/>
      </c>
      <c r="F7" s="50">
        <f>IF(OR(A7="",B7="",C7=""),"",D7+C7)</f>
        <v/>
      </c>
      <c r="G7" s="51">
        <f>IF(F7="","",ABS(F7)+(1000-ROW())*0.0000001)</f>
        <v/>
      </c>
      <c r="H7" s="23">
        <f>IF(F7="","",IF(F7&gt;=0,B7,A7))</f>
        <v/>
      </c>
      <c r="I7" s="24">
        <f>IF(F7="","",MIN(0.99,NORMSDIST(ABS(F7)/'Weights &amp; Params'!$B$13)))</f>
        <v/>
      </c>
      <c r="J7" s="25">
        <f>IF(F7="","",IF(IF(D7&gt;=0,B7,A7)&lt;&gt;IF(C7&lt;0,B7,A7),"UPSET","-"))</f>
        <v/>
      </c>
      <c r="L7" s="12">
        <f>IF($Q7="","",4)</f>
        <v/>
      </c>
      <c r="M7" s="26">
        <f>IF($Q7="","",INDEX($A$4:$A$33,$Q7)&amp;" @ "&amp;INDEX($B$4:$B$33,$Q7))</f>
        <v/>
      </c>
      <c r="N7" s="52">
        <f>IF($Q7="","",INDEX($F$4:$F$33,$Q7))</f>
        <v/>
      </c>
      <c r="O7" s="26">
        <f>IF($Q7="","",INDEX($H$4:$H$33,$Q7))</f>
        <v/>
      </c>
      <c r="P7" s="28">
        <f>IF($Q7="","",INDEX($I$4:$I$33,$Q7))</f>
        <v/>
      </c>
      <c r="Q7" s="29">
        <f>IFERROR(MATCH(LARGE($G$4:$G$33,4),$G$4:$G$33,0),"")</f>
        <v/>
      </c>
    </row>
    <row r="8">
      <c r="A8" s="19" t="inlineStr">
        <is>
          <t>Kansas State</t>
        </is>
      </c>
      <c r="B8" s="19" t="inlineStr">
        <is>
          <t>Kansas</t>
        </is>
      </c>
      <c r="C8" s="20" t="n">
        <v>3.5</v>
      </c>
      <c r="D8" s="31">
        <f>IF(OR(A8="",B8=""),"",ROUND((INDEX('Power Ratings'!$O$2:$O$139,MATCH(B8,'Power Ratings'!$B$2:$B$139,0))-INDEX('Power Ratings'!$O$2:$O$139,MATCH(A8,'Power Ratings'!$B$2:$B$139,0))+IF(LEFT(UPPER(K8),1)="Y",0,'Weights &amp; Params'!$B$12))*2,0)/2)</f>
        <v/>
      </c>
      <c r="E8" s="50">
        <f>IF(D8="","",-D8)</f>
        <v/>
      </c>
      <c r="F8" s="50">
        <f>IF(OR(A8="",B8="",C8=""),"",D8+C8)</f>
        <v/>
      </c>
      <c r="G8" s="51">
        <f>IF(F8="","",ABS(F8)+(1000-ROW())*0.0000001)</f>
        <v/>
      </c>
      <c r="H8" s="23">
        <f>IF(F8="","",IF(F8&gt;=0,B8,A8))</f>
        <v/>
      </c>
      <c r="I8" s="24">
        <f>IF(F8="","",MIN(0.99,NORMSDIST(ABS(F8)/'Weights &amp; Params'!$B$13)))</f>
        <v/>
      </c>
      <c r="J8" s="25">
        <f>IF(F8="","",IF(IF(D8&gt;=0,B8,A8)&lt;&gt;IF(C8&lt;0,B8,A8),"UPSET","-"))</f>
        <v/>
      </c>
      <c r="L8" s="12">
        <f>IF($Q8="","",5)</f>
        <v/>
      </c>
      <c r="M8" s="26">
        <f>IF($Q8="","",INDEX($A$4:$A$33,$Q8)&amp;" @ "&amp;INDEX($B$4:$B$33,$Q8))</f>
        <v/>
      </c>
      <c r="N8" s="52">
        <f>IF($Q8="","",INDEX($F$4:$F$33,$Q8))</f>
        <v/>
      </c>
      <c r="O8" s="26">
        <f>IF($Q8="","",INDEX($H$4:$H$33,$Q8))</f>
        <v/>
      </c>
      <c r="P8" s="28">
        <f>IF($Q8="","",INDEX($I$4:$I$33,$Q8))</f>
        <v/>
      </c>
      <c r="Q8" s="29">
        <f>IFERROR(MATCH(LARGE($G$4:$G$33,5),$G$4:$G$33,0),"")</f>
        <v/>
      </c>
    </row>
    <row r="9">
      <c r="A9" s="19" t="n"/>
      <c r="B9" s="19" t="n"/>
      <c r="C9" s="20" t="n"/>
      <c r="D9" s="31">
        <f>IF(OR(A9="",B9=""),"",ROUND((INDEX('Power Ratings'!$O$2:$O$139,MATCH(B9,'Power Ratings'!$B$2:$B$139,0))-INDEX('Power Ratings'!$O$2:$O$139,MATCH(A9,'Power Ratings'!$B$2:$B$139,0))+IF(LEFT(UPPER(K9),1)="Y",0,'Weights &amp; Params'!$B$12))*2,0)/2)</f>
        <v/>
      </c>
      <c r="E9" s="50">
        <f>IF(D9="","",-D9)</f>
        <v/>
      </c>
      <c r="F9" s="50">
        <f>IF(OR(A9="",B9="",C9=""),"",D9+C9)</f>
        <v/>
      </c>
      <c r="G9" s="51">
        <f>IF(F9="","",ABS(F9)+(1000-ROW())*0.0000001)</f>
        <v/>
      </c>
      <c r="H9" s="23">
        <f>IF(F9="","",IF(F9&gt;=0,B9,A9))</f>
        <v/>
      </c>
      <c r="I9" s="24">
        <f>IF(F9="","",MIN(0.99,NORMSDIST(ABS(F9)/'Weights &amp; Params'!$B$13)))</f>
        <v/>
      </c>
      <c r="J9" s="25">
        <f>IF(F9="","",IF(IF(D9&gt;=0,B9,A9)&lt;&gt;IF(C9&lt;0,B9,A9),"UPSET","-"))</f>
        <v/>
      </c>
      <c r="L9" s="12">
        <f>IF($Q9="","",6)</f>
        <v/>
      </c>
      <c r="M9" s="26">
        <f>IF($Q9="","",INDEX($A$4:$A$33,$Q9)&amp;" @ "&amp;INDEX($B$4:$B$33,$Q9))</f>
        <v/>
      </c>
      <c r="N9" s="52">
        <f>IF($Q9="","",INDEX($F$4:$F$33,$Q9))</f>
        <v/>
      </c>
      <c r="O9" s="26">
        <f>IF($Q9="","",INDEX($H$4:$H$33,$Q9))</f>
        <v/>
      </c>
      <c r="P9" s="28">
        <f>IF($Q9="","",INDEX($I$4:$I$33,$Q9))</f>
        <v/>
      </c>
      <c r="Q9" s="29">
        <f>IFERROR(MATCH(LARGE($G$4:$G$33,6),$G$4:$G$33,0),"")</f>
        <v/>
      </c>
    </row>
    <row r="10">
      <c r="A10" s="19" t="n"/>
      <c r="B10" s="19" t="n"/>
      <c r="C10" s="20" t="n"/>
      <c r="D10" s="31">
        <f>IF(OR(A10="",B10=""),"",ROUND((INDEX('Power Ratings'!$O$2:$O$139,MATCH(B10,'Power Ratings'!$B$2:$B$139,0))-INDEX('Power Ratings'!$O$2:$O$139,MATCH(A10,'Power Ratings'!$B$2:$B$139,0))+IF(LEFT(UPPER(K10),1)="Y",0,'Weights &amp; Params'!$B$12))*2,0)/2)</f>
        <v/>
      </c>
      <c r="E10" s="50">
        <f>IF(D10="","",-D10)</f>
        <v/>
      </c>
      <c r="F10" s="50">
        <f>IF(OR(A10="",B10="",C10=""),"",D10+C10)</f>
        <v/>
      </c>
      <c r="G10" s="51">
        <f>IF(F10="","",ABS(F10)+(1000-ROW())*0.0000001)</f>
        <v/>
      </c>
      <c r="H10" s="23">
        <f>IF(F10="","",IF(F10&gt;=0,B10,A10))</f>
        <v/>
      </c>
      <c r="I10" s="24">
        <f>IF(F10="","",MIN(0.99,NORMSDIST(ABS(F10)/'Weights &amp; Params'!$B$13)))</f>
        <v/>
      </c>
      <c r="J10" s="25">
        <f>IF(F10="","",IF(IF(D10&gt;=0,B10,A10)&lt;&gt;IF(C10&lt;0,B10,A10),"UPSET","-"))</f>
        <v/>
      </c>
      <c r="L10" s="12">
        <f>IF($Q10="","",7)</f>
        <v/>
      </c>
      <c r="M10" s="26">
        <f>IF($Q10="","",INDEX($A$4:$A$33,$Q10)&amp;" @ "&amp;INDEX($B$4:$B$33,$Q10))</f>
        <v/>
      </c>
      <c r="N10" s="52">
        <f>IF($Q10="","",INDEX($F$4:$F$33,$Q10))</f>
        <v/>
      </c>
      <c r="O10" s="26">
        <f>IF($Q10="","",INDEX($H$4:$H$33,$Q10))</f>
        <v/>
      </c>
      <c r="P10" s="28">
        <f>IF($Q10="","",INDEX($I$4:$I$33,$Q10))</f>
        <v/>
      </c>
      <c r="Q10" s="29">
        <f>IFERROR(MATCH(LARGE($G$4:$G$33,7),$G$4:$G$33,0),"")</f>
        <v/>
      </c>
    </row>
    <row r="11">
      <c r="A11" s="19" t="n"/>
      <c r="B11" s="19" t="n"/>
      <c r="C11" s="20" t="n"/>
      <c r="D11" s="31">
        <f>IF(OR(A11="",B11=""),"",ROUND((INDEX('Power Ratings'!$O$2:$O$139,MATCH(B11,'Power Ratings'!$B$2:$B$139,0))-INDEX('Power Ratings'!$O$2:$O$139,MATCH(A11,'Power Ratings'!$B$2:$B$139,0))+IF(LEFT(UPPER(K11),1)="Y",0,'Weights &amp; Params'!$B$12))*2,0)/2)</f>
        <v/>
      </c>
      <c r="E11" s="50">
        <f>IF(D11="","",-D11)</f>
        <v/>
      </c>
      <c r="F11" s="50">
        <f>IF(OR(A11="",B11="",C11=""),"",D11+C11)</f>
        <v/>
      </c>
      <c r="G11" s="51">
        <f>IF(F11="","",ABS(F11)+(1000-ROW())*0.0000001)</f>
        <v/>
      </c>
      <c r="H11" s="23">
        <f>IF(F11="","",IF(F11&gt;=0,B11,A11))</f>
        <v/>
      </c>
      <c r="I11" s="24">
        <f>IF(F11="","",MIN(0.99,NORMSDIST(ABS(F11)/'Weights &amp; Params'!$B$13)))</f>
        <v/>
      </c>
      <c r="J11" s="25">
        <f>IF(F11="","",IF(IF(D11&gt;=0,B11,A11)&lt;&gt;IF(C11&lt;0,B11,A11),"UPSET","-"))</f>
        <v/>
      </c>
      <c r="L11" s="12">
        <f>IF($Q11="","",8)</f>
        <v/>
      </c>
      <c r="M11" s="26">
        <f>IF($Q11="","",INDEX($A$4:$A$33,$Q11)&amp;" @ "&amp;INDEX($B$4:$B$33,$Q11))</f>
        <v/>
      </c>
      <c r="N11" s="52">
        <f>IF($Q11="","",INDEX($F$4:$F$33,$Q11))</f>
        <v/>
      </c>
      <c r="O11" s="26">
        <f>IF($Q11="","",INDEX($H$4:$H$33,$Q11))</f>
        <v/>
      </c>
      <c r="P11" s="28">
        <f>IF($Q11="","",INDEX($I$4:$I$33,$Q11))</f>
        <v/>
      </c>
      <c r="Q11" s="29">
        <f>IFERROR(MATCH(LARGE($G$4:$G$33,8),$G$4:$G$33,0),"")</f>
        <v/>
      </c>
    </row>
    <row r="12">
      <c r="A12" s="19" t="n"/>
      <c r="B12" s="19" t="n"/>
      <c r="C12" s="20" t="n"/>
      <c r="D12" s="31">
        <f>IF(OR(A12="",B12=""),"",ROUND((INDEX('Power Ratings'!$O$2:$O$139,MATCH(B12,'Power Ratings'!$B$2:$B$139,0))-INDEX('Power Ratings'!$O$2:$O$139,MATCH(A12,'Power Ratings'!$B$2:$B$139,0))+IF(LEFT(UPPER(K12),1)="Y",0,'Weights &amp; Params'!$B$12))*2,0)/2)</f>
        <v/>
      </c>
      <c r="E12" s="50">
        <f>IF(D12="","",-D12)</f>
        <v/>
      </c>
      <c r="F12" s="50">
        <f>IF(OR(A12="",B12="",C12=""),"",D12+C12)</f>
        <v/>
      </c>
      <c r="G12" s="51">
        <f>IF(F12="","",ABS(F12)+(1000-ROW())*0.0000001)</f>
        <v/>
      </c>
      <c r="H12" s="23">
        <f>IF(F12="","",IF(F12&gt;=0,B12,A12))</f>
        <v/>
      </c>
      <c r="I12" s="24">
        <f>IF(F12="","",MIN(0.99,NORMSDIST(ABS(F12)/'Weights &amp; Params'!$B$13)))</f>
        <v/>
      </c>
      <c r="J12" s="25">
        <f>IF(F12="","",IF(IF(D12&gt;=0,B12,A12)&lt;&gt;IF(C12&lt;0,B12,A12),"UPSET","-"))</f>
        <v/>
      </c>
      <c r="L12" s="12">
        <f>IF($Q12="","",9)</f>
        <v/>
      </c>
      <c r="M12" s="26">
        <f>IF($Q12="","",INDEX($A$4:$A$33,$Q12)&amp;" @ "&amp;INDEX($B$4:$B$33,$Q12))</f>
        <v/>
      </c>
      <c r="N12" s="52">
        <f>IF($Q12="","",INDEX($F$4:$F$33,$Q12))</f>
        <v/>
      </c>
      <c r="O12" s="26">
        <f>IF($Q12="","",INDEX($H$4:$H$33,$Q12))</f>
        <v/>
      </c>
      <c r="P12" s="28">
        <f>IF($Q12="","",INDEX($I$4:$I$33,$Q12))</f>
        <v/>
      </c>
      <c r="Q12" s="29">
        <f>IFERROR(MATCH(LARGE($G$4:$G$33,9),$G$4:$G$33,0),"")</f>
        <v/>
      </c>
    </row>
    <row r="13">
      <c r="A13" s="19" t="n"/>
      <c r="B13" s="19" t="n"/>
      <c r="C13" s="20" t="n"/>
      <c r="D13" s="31">
        <f>IF(OR(A13="",B13=""),"",ROUND((INDEX('Power Ratings'!$O$2:$O$139,MATCH(B13,'Power Ratings'!$B$2:$B$139,0))-INDEX('Power Ratings'!$O$2:$O$139,MATCH(A13,'Power Ratings'!$B$2:$B$139,0))+IF(LEFT(UPPER(K13),1)="Y",0,'Weights &amp; Params'!$B$12))*2,0)/2)</f>
        <v/>
      </c>
      <c r="E13" s="50">
        <f>IF(D13="","",-D13)</f>
        <v/>
      </c>
      <c r="F13" s="50">
        <f>IF(OR(A13="",B13="",C13=""),"",D13+C13)</f>
        <v/>
      </c>
      <c r="G13" s="51">
        <f>IF(F13="","",ABS(F13)+(1000-ROW())*0.0000001)</f>
        <v/>
      </c>
      <c r="H13" s="23">
        <f>IF(F13="","",IF(F13&gt;=0,B13,A13))</f>
        <v/>
      </c>
      <c r="I13" s="24">
        <f>IF(F13="","",MIN(0.99,NORMSDIST(ABS(F13)/'Weights &amp; Params'!$B$13)))</f>
        <v/>
      </c>
      <c r="J13" s="25">
        <f>IF(F13="","",IF(IF(D13&gt;=0,B13,A13)&lt;&gt;IF(C13&lt;0,B13,A13),"UPSET","-"))</f>
        <v/>
      </c>
      <c r="L13" s="12">
        <f>IF($Q13="","",10)</f>
        <v/>
      </c>
      <c r="M13" s="26">
        <f>IF($Q13="","",INDEX($A$4:$A$33,$Q13)&amp;" @ "&amp;INDEX($B$4:$B$33,$Q13))</f>
        <v/>
      </c>
      <c r="N13" s="52">
        <f>IF($Q13="","",INDEX($F$4:$F$33,$Q13))</f>
        <v/>
      </c>
      <c r="O13" s="26">
        <f>IF($Q13="","",INDEX($H$4:$H$33,$Q13))</f>
        <v/>
      </c>
      <c r="P13" s="28">
        <f>IF($Q13="","",INDEX($I$4:$I$33,$Q13))</f>
        <v/>
      </c>
      <c r="Q13" s="29">
        <f>IFERROR(MATCH(LARGE($G$4:$G$33,10),$G$4:$G$33,0),"")</f>
        <v/>
      </c>
    </row>
    <row r="14">
      <c r="A14" s="19" t="n"/>
      <c r="B14" s="19" t="n"/>
      <c r="C14" s="20" t="n"/>
      <c r="D14" s="31">
        <f>IF(OR(A14="",B14=""),"",ROUND((INDEX('Power Ratings'!$O$2:$O$139,MATCH(B14,'Power Ratings'!$B$2:$B$139,0))-INDEX('Power Ratings'!$O$2:$O$139,MATCH(A14,'Power Ratings'!$B$2:$B$139,0))+IF(LEFT(UPPER(K14),1)="Y",0,'Weights &amp; Params'!$B$12))*2,0)/2)</f>
        <v/>
      </c>
      <c r="E14" s="50">
        <f>IF(D14="","",-D14)</f>
        <v/>
      </c>
      <c r="F14" s="50">
        <f>IF(OR(A14="",B14="",C14=""),"",D14+C14)</f>
        <v/>
      </c>
      <c r="G14" s="51">
        <f>IF(F14="","",ABS(F14)+(1000-ROW())*0.0000001)</f>
        <v/>
      </c>
      <c r="H14" s="23">
        <f>IF(F14="","",IF(F14&gt;=0,B14,A14))</f>
        <v/>
      </c>
      <c r="I14" s="24">
        <f>IF(F14="","",MIN(0.99,NORMSDIST(ABS(F14)/'Weights &amp; Params'!$B$13)))</f>
        <v/>
      </c>
      <c r="J14" s="25">
        <f>IF(F14="","",IF(IF(D14&gt;=0,B14,A14)&lt;&gt;IF(C14&lt;0,B14,A14),"UPSET","-"))</f>
        <v/>
      </c>
      <c r="L14" s="12">
        <f>IF($Q14="","",11)</f>
        <v/>
      </c>
      <c r="M14" s="26">
        <f>IF($Q14="","",INDEX($A$4:$A$33,$Q14)&amp;" @ "&amp;INDEX($B$4:$B$33,$Q14))</f>
        <v/>
      </c>
      <c r="N14" s="52">
        <f>IF($Q14="","",INDEX($F$4:$F$33,$Q14))</f>
        <v/>
      </c>
      <c r="O14" s="26">
        <f>IF($Q14="","",INDEX($H$4:$H$33,$Q14))</f>
        <v/>
      </c>
      <c r="P14" s="28">
        <f>IF($Q14="","",INDEX($I$4:$I$33,$Q14))</f>
        <v/>
      </c>
      <c r="Q14" s="29">
        <f>IFERROR(MATCH(LARGE($G$4:$G$33,11),$G$4:$G$33,0),"")</f>
        <v/>
      </c>
    </row>
    <row r="15">
      <c r="A15" s="19" t="n"/>
      <c r="B15" s="19" t="n"/>
      <c r="C15" s="20" t="n"/>
      <c r="D15" s="31">
        <f>IF(OR(A15="",B15=""),"",ROUND((INDEX('Power Ratings'!$O$2:$O$139,MATCH(B15,'Power Ratings'!$B$2:$B$139,0))-INDEX('Power Ratings'!$O$2:$O$139,MATCH(A15,'Power Ratings'!$B$2:$B$139,0))+IF(LEFT(UPPER(K15),1)="Y",0,'Weights &amp; Params'!$B$12))*2,0)/2)</f>
        <v/>
      </c>
      <c r="E15" s="50">
        <f>IF(D15="","",-D15)</f>
        <v/>
      </c>
      <c r="F15" s="50">
        <f>IF(OR(A15="",B15="",C15=""),"",D15+C15)</f>
        <v/>
      </c>
      <c r="G15" s="51">
        <f>IF(F15="","",ABS(F15)+(1000-ROW())*0.0000001)</f>
        <v/>
      </c>
      <c r="H15" s="23">
        <f>IF(F15="","",IF(F15&gt;=0,B15,A15))</f>
        <v/>
      </c>
      <c r="I15" s="24">
        <f>IF(F15="","",MIN(0.99,NORMSDIST(ABS(F15)/'Weights &amp; Params'!$B$13)))</f>
        <v/>
      </c>
      <c r="J15" s="25">
        <f>IF(F15="","",IF(IF(D15&gt;=0,B15,A15)&lt;&gt;IF(C15&lt;0,B15,A15),"UPSET","-"))</f>
        <v/>
      </c>
      <c r="L15" s="12">
        <f>IF($Q15="","",12)</f>
        <v/>
      </c>
      <c r="M15" s="26">
        <f>IF($Q15="","",INDEX($A$4:$A$33,$Q15)&amp;" @ "&amp;INDEX($B$4:$B$33,$Q15))</f>
        <v/>
      </c>
      <c r="N15" s="52">
        <f>IF($Q15="","",INDEX($F$4:$F$33,$Q15))</f>
        <v/>
      </c>
      <c r="O15" s="26">
        <f>IF($Q15="","",INDEX($H$4:$H$33,$Q15))</f>
        <v/>
      </c>
      <c r="P15" s="28">
        <f>IF($Q15="","",INDEX($I$4:$I$33,$Q15))</f>
        <v/>
      </c>
      <c r="Q15" s="29">
        <f>IFERROR(MATCH(LARGE($G$4:$G$33,12),$G$4:$G$33,0),"")</f>
        <v/>
      </c>
    </row>
    <row r="16">
      <c r="A16" s="19" t="n"/>
      <c r="B16" s="19" t="n"/>
      <c r="C16" s="20" t="n"/>
      <c r="D16" s="31">
        <f>IF(OR(A16="",B16=""),"",ROUND((INDEX('Power Ratings'!$O$2:$O$139,MATCH(B16,'Power Ratings'!$B$2:$B$139,0))-INDEX('Power Ratings'!$O$2:$O$139,MATCH(A16,'Power Ratings'!$B$2:$B$139,0))+IF(LEFT(UPPER(K16),1)="Y",0,'Weights &amp; Params'!$B$12))*2,0)/2)</f>
        <v/>
      </c>
      <c r="E16" s="50">
        <f>IF(D16="","",-D16)</f>
        <v/>
      </c>
      <c r="F16" s="50">
        <f>IF(OR(A16="",B16="",C16=""),"",D16+C16)</f>
        <v/>
      </c>
      <c r="G16" s="51">
        <f>IF(F16="","",ABS(F16)+(1000-ROW())*0.0000001)</f>
        <v/>
      </c>
      <c r="H16" s="23">
        <f>IF(F16="","",IF(F16&gt;=0,B16,A16))</f>
        <v/>
      </c>
      <c r="I16" s="24">
        <f>IF(F16="","",MIN(0.99,NORMSDIST(ABS(F16)/'Weights &amp; Params'!$B$13)))</f>
        <v/>
      </c>
      <c r="J16" s="25">
        <f>IF(F16="","",IF(IF(D16&gt;=0,B16,A16)&lt;&gt;IF(C16&lt;0,B16,A16),"UPSET","-"))</f>
        <v/>
      </c>
      <c r="L16" s="12">
        <f>IF($Q16="","",13)</f>
        <v/>
      </c>
      <c r="M16" s="26">
        <f>IF($Q16="","",INDEX($A$4:$A$33,$Q16)&amp;" @ "&amp;INDEX($B$4:$B$33,$Q16))</f>
        <v/>
      </c>
      <c r="N16" s="52">
        <f>IF($Q16="","",INDEX($F$4:$F$33,$Q16))</f>
        <v/>
      </c>
      <c r="O16" s="26">
        <f>IF($Q16="","",INDEX($H$4:$H$33,$Q16))</f>
        <v/>
      </c>
      <c r="P16" s="28">
        <f>IF($Q16="","",INDEX($I$4:$I$33,$Q16))</f>
        <v/>
      </c>
      <c r="Q16" s="29">
        <f>IFERROR(MATCH(LARGE($G$4:$G$33,13),$G$4:$G$33,0),"")</f>
        <v/>
      </c>
    </row>
    <row r="17">
      <c r="A17" s="19" t="n"/>
      <c r="B17" s="19" t="n"/>
      <c r="C17" s="20" t="n"/>
      <c r="D17" s="31">
        <f>IF(OR(A17="",B17=""),"",ROUND((INDEX('Power Ratings'!$O$2:$O$139,MATCH(B17,'Power Ratings'!$B$2:$B$139,0))-INDEX('Power Ratings'!$O$2:$O$139,MATCH(A17,'Power Ratings'!$B$2:$B$139,0))+IF(LEFT(UPPER(K17),1)="Y",0,'Weights &amp; Params'!$B$12))*2,0)/2)</f>
        <v/>
      </c>
      <c r="E17" s="50">
        <f>IF(D17="","",-D17)</f>
        <v/>
      </c>
      <c r="F17" s="50">
        <f>IF(OR(A17="",B17="",C17=""),"",D17+C17)</f>
        <v/>
      </c>
      <c r="G17" s="51">
        <f>IF(F17="","",ABS(F17)+(1000-ROW())*0.0000001)</f>
        <v/>
      </c>
      <c r="H17" s="23">
        <f>IF(F17="","",IF(F17&gt;=0,B17,A17))</f>
        <v/>
      </c>
      <c r="I17" s="24">
        <f>IF(F17="","",MIN(0.99,NORMSDIST(ABS(F17)/'Weights &amp; Params'!$B$13)))</f>
        <v/>
      </c>
      <c r="J17" s="25">
        <f>IF(F17="","",IF(IF(D17&gt;=0,B17,A17)&lt;&gt;IF(C17&lt;0,B17,A17),"UPSET","-"))</f>
        <v/>
      </c>
      <c r="L17" s="12">
        <f>IF($Q17="","",14)</f>
        <v/>
      </c>
      <c r="M17" s="26">
        <f>IF($Q17="","",INDEX($A$4:$A$33,$Q17)&amp;" @ "&amp;INDEX($B$4:$B$33,$Q17))</f>
        <v/>
      </c>
      <c r="N17" s="52">
        <f>IF($Q17="","",INDEX($F$4:$F$33,$Q17))</f>
        <v/>
      </c>
      <c r="O17" s="26">
        <f>IF($Q17="","",INDEX($H$4:$H$33,$Q17))</f>
        <v/>
      </c>
      <c r="P17" s="28">
        <f>IF($Q17="","",INDEX($I$4:$I$33,$Q17))</f>
        <v/>
      </c>
      <c r="Q17" s="29">
        <f>IFERROR(MATCH(LARGE($G$4:$G$33,14),$G$4:$G$33,0),"")</f>
        <v/>
      </c>
    </row>
    <row r="18">
      <c r="A18" s="19" t="n"/>
      <c r="B18" s="19" t="n"/>
      <c r="C18" s="20" t="n"/>
      <c r="D18" s="31">
        <f>IF(OR(A18="",B18=""),"",ROUND((INDEX('Power Ratings'!$O$2:$O$139,MATCH(B18,'Power Ratings'!$B$2:$B$139,0))-INDEX('Power Ratings'!$O$2:$O$139,MATCH(A18,'Power Ratings'!$B$2:$B$139,0))+IF(LEFT(UPPER(K18),1)="Y",0,'Weights &amp; Params'!$B$12))*2,0)/2)</f>
        <v/>
      </c>
      <c r="E18" s="50">
        <f>IF(D18="","",-D18)</f>
        <v/>
      </c>
      <c r="F18" s="50">
        <f>IF(OR(A18="",B18="",C18=""),"",D18+C18)</f>
        <v/>
      </c>
      <c r="G18" s="51">
        <f>IF(F18="","",ABS(F18)+(1000-ROW())*0.0000001)</f>
        <v/>
      </c>
      <c r="H18" s="23">
        <f>IF(F18="","",IF(F18&gt;=0,B18,A18))</f>
        <v/>
      </c>
      <c r="I18" s="24">
        <f>IF(F18="","",MIN(0.99,NORMSDIST(ABS(F18)/'Weights &amp; Params'!$B$13)))</f>
        <v/>
      </c>
      <c r="J18" s="25">
        <f>IF(F18="","",IF(IF(D18&gt;=0,B18,A18)&lt;&gt;IF(C18&lt;0,B18,A18),"UPSET","-"))</f>
        <v/>
      </c>
      <c r="L18" s="12">
        <f>IF($Q18="","",15)</f>
        <v/>
      </c>
      <c r="M18" s="26">
        <f>IF($Q18="","",INDEX($A$4:$A$33,$Q18)&amp;" @ "&amp;INDEX($B$4:$B$33,$Q18))</f>
        <v/>
      </c>
      <c r="N18" s="52">
        <f>IF($Q18="","",INDEX($F$4:$F$33,$Q18))</f>
        <v/>
      </c>
      <c r="O18" s="26">
        <f>IF($Q18="","",INDEX($H$4:$H$33,$Q18))</f>
        <v/>
      </c>
      <c r="P18" s="28">
        <f>IF($Q18="","",INDEX($I$4:$I$33,$Q18))</f>
        <v/>
      </c>
      <c r="Q18" s="29">
        <f>IFERROR(MATCH(LARGE($G$4:$G$33,15),$G$4:$G$33,0),"")</f>
        <v/>
      </c>
    </row>
    <row r="19">
      <c r="A19" s="19" t="n"/>
      <c r="B19" s="19" t="n"/>
      <c r="C19" s="20" t="n"/>
      <c r="D19" s="31">
        <f>IF(OR(A19="",B19=""),"",ROUND((INDEX('Power Ratings'!$O$2:$O$139,MATCH(B19,'Power Ratings'!$B$2:$B$139,0))-INDEX('Power Ratings'!$O$2:$O$139,MATCH(A19,'Power Ratings'!$B$2:$B$139,0))+IF(LEFT(UPPER(K19),1)="Y",0,'Weights &amp; Params'!$B$12))*2,0)/2)</f>
        <v/>
      </c>
      <c r="E19" s="50">
        <f>IF(D19="","",-D19)</f>
        <v/>
      </c>
      <c r="F19" s="50">
        <f>IF(OR(A19="",B19="",C19=""),"",D19+C19)</f>
        <v/>
      </c>
      <c r="G19" s="51">
        <f>IF(F19="","",ABS(F19)+(1000-ROW())*0.0000001)</f>
        <v/>
      </c>
      <c r="H19" s="23">
        <f>IF(F19="","",IF(F19&gt;=0,B19,A19))</f>
        <v/>
      </c>
      <c r="I19" s="24">
        <f>IF(F19="","",MIN(0.99,NORMSDIST(ABS(F19)/'Weights &amp; Params'!$B$13)))</f>
        <v/>
      </c>
      <c r="J19" s="25">
        <f>IF(F19="","",IF(IF(D19&gt;=0,B19,A19)&lt;&gt;IF(C19&lt;0,B19,A19),"UPSET","-"))</f>
        <v/>
      </c>
      <c r="L19" s="12">
        <f>IF($Q19="","",16)</f>
        <v/>
      </c>
      <c r="M19" s="26">
        <f>IF($Q19="","",INDEX($A$4:$A$33,$Q19)&amp;" @ "&amp;INDEX($B$4:$B$33,$Q19))</f>
        <v/>
      </c>
      <c r="N19" s="52">
        <f>IF($Q19="","",INDEX($F$4:$F$33,$Q19))</f>
        <v/>
      </c>
      <c r="O19" s="26">
        <f>IF($Q19="","",INDEX($H$4:$H$33,$Q19))</f>
        <v/>
      </c>
      <c r="P19" s="28">
        <f>IF($Q19="","",INDEX($I$4:$I$33,$Q19))</f>
        <v/>
      </c>
      <c r="Q19" s="29">
        <f>IFERROR(MATCH(LARGE($G$4:$G$33,16),$G$4:$G$33,0),"")</f>
        <v/>
      </c>
    </row>
    <row r="20">
      <c r="A20" s="19" t="n"/>
      <c r="B20" s="19" t="n"/>
      <c r="C20" s="20" t="n"/>
      <c r="D20" s="31">
        <f>IF(OR(A20="",B20=""),"",ROUND((INDEX('Power Ratings'!$O$2:$O$139,MATCH(B20,'Power Ratings'!$B$2:$B$139,0))-INDEX('Power Ratings'!$O$2:$O$139,MATCH(A20,'Power Ratings'!$B$2:$B$139,0))+IF(LEFT(UPPER(K20),1)="Y",0,'Weights &amp; Params'!$B$12))*2,0)/2)</f>
        <v/>
      </c>
      <c r="E20" s="50">
        <f>IF(D20="","",-D20)</f>
        <v/>
      </c>
      <c r="F20" s="50">
        <f>IF(OR(A20="",B20="",C20=""),"",D20+C20)</f>
        <v/>
      </c>
      <c r="G20" s="51">
        <f>IF(F20="","",ABS(F20)+(1000-ROW())*0.0000001)</f>
        <v/>
      </c>
      <c r="H20" s="23">
        <f>IF(F20="","",IF(F20&gt;=0,B20,A20))</f>
        <v/>
      </c>
      <c r="I20" s="24">
        <f>IF(F20="","",MIN(0.99,NORMSDIST(ABS(F20)/'Weights &amp; Params'!$B$13)))</f>
        <v/>
      </c>
      <c r="J20" s="25">
        <f>IF(F20="","",IF(IF(D20&gt;=0,B20,A20)&lt;&gt;IF(C20&lt;0,B20,A20),"UPSET","-"))</f>
        <v/>
      </c>
      <c r="L20" s="12">
        <f>IF($Q20="","",17)</f>
        <v/>
      </c>
      <c r="M20" s="26">
        <f>IF($Q20="","",INDEX($A$4:$A$33,$Q20)&amp;" @ "&amp;INDEX($B$4:$B$33,$Q20))</f>
        <v/>
      </c>
      <c r="N20" s="52">
        <f>IF($Q20="","",INDEX($F$4:$F$33,$Q20))</f>
        <v/>
      </c>
      <c r="O20" s="26">
        <f>IF($Q20="","",INDEX($H$4:$H$33,$Q20))</f>
        <v/>
      </c>
      <c r="P20" s="28">
        <f>IF($Q20="","",INDEX($I$4:$I$33,$Q20))</f>
        <v/>
      </c>
      <c r="Q20" s="29">
        <f>IFERROR(MATCH(LARGE($G$4:$G$33,17),$G$4:$G$33,0),"")</f>
        <v/>
      </c>
    </row>
    <row r="21">
      <c r="A21" s="19" t="n"/>
      <c r="B21" s="19" t="n"/>
      <c r="C21" s="20" t="n"/>
      <c r="D21" s="31">
        <f>IF(OR(A21="",B21=""),"",ROUND((INDEX('Power Ratings'!$O$2:$O$139,MATCH(B21,'Power Ratings'!$B$2:$B$139,0))-INDEX('Power Ratings'!$O$2:$O$139,MATCH(A21,'Power Ratings'!$B$2:$B$139,0))+IF(LEFT(UPPER(K21),1)="Y",0,'Weights &amp; Params'!$B$12))*2,0)/2)</f>
        <v/>
      </c>
      <c r="E21" s="50">
        <f>IF(D21="","",-D21)</f>
        <v/>
      </c>
      <c r="F21" s="50">
        <f>IF(OR(A21="",B21="",C21=""),"",D21+C21)</f>
        <v/>
      </c>
      <c r="G21" s="51">
        <f>IF(F21="","",ABS(F21)+(1000-ROW())*0.0000001)</f>
        <v/>
      </c>
      <c r="H21" s="23">
        <f>IF(F21="","",IF(F21&gt;=0,B21,A21))</f>
        <v/>
      </c>
      <c r="I21" s="24">
        <f>IF(F21="","",MIN(0.99,NORMSDIST(ABS(F21)/'Weights &amp; Params'!$B$13)))</f>
        <v/>
      </c>
      <c r="J21" s="25">
        <f>IF(F21="","",IF(IF(D21&gt;=0,B21,A21)&lt;&gt;IF(C21&lt;0,B21,A21),"UPSET","-"))</f>
        <v/>
      </c>
      <c r="L21" s="12">
        <f>IF($Q21="","",18)</f>
        <v/>
      </c>
      <c r="M21" s="26">
        <f>IF($Q21="","",INDEX($A$4:$A$33,$Q21)&amp;" @ "&amp;INDEX($B$4:$B$33,$Q21))</f>
        <v/>
      </c>
      <c r="N21" s="52">
        <f>IF($Q21="","",INDEX($F$4:$F$33,$Q21))</f>
        <v/>
      </c>
      <c r="O21" s="26">
        <f>IF($Q21="","",INDEX($H$4:$H$33,$Q21))</f>
        <v/>
      </c>
      <c r="P21" s="28">
        <f>IF($Q21="","",INDEX($I$4:$I$33,$Q21))</f>
        <v/>
      </c>
      <c r="Q21" s="29">
        <f>IFERROR(MATCH(LARGE($G$4:$G$33,18),$G$4:$G$33,0),"")</f>
        <v/>
      </c>
    </row>
    <row r="22">
      <c r="A22" s="19" t="n"/>
      <c r="B22" s="19" t="n"/>
      <c r="C22" s="20" t="n"/>
      <c r="D22" s="31">
        <f>IF(OR(A22="",B22=""),"",ROUND((INDEX('Power Ratings'!$O$2:$O$139,MATCH(B22,'Power Ratings'!$B$2:$B$139,0))-INDEX('Power Ratings'!$O$2:$O$139,MATCH(A22,'Power Ratings'!$B$2:$B$139,0))+IF(LEFT(UPPER(K22),1)="Y",0,'Weights &amp; Params'!$B$12))*2,0)/2)</f>
        <v/>
      </c>
      <c r="E22" s="50">
        <f>IF(D22="","",-D22)</f>
        <v/>
      </c>
      <c r="F22" s="50">
        <f>IF(OR(A22="",B22="",C22=""),"",D22+C22)</f>
        <v/>
      </c>
      <c r="G22" s="51">
        <f>IF(F22="","",ABS(F22)+(1000-ROW())*0.0000001)</f>
        <v/>
      </c>
      <c r="H22" s="23">
        <f>IF(F22="","",IF(F22&gt;=0,B22,A22))</f>
        <v/>
      </c>
      <c r="I22" s="24">
        <f>IF(F22="","",MIN(0.99,NORMSDIST(ABS(F22)/'Weights &amp; Params'!$B$13)))</f>
        <v/>
      </c>
      <c r="J22" s="25">
        <f>IF(F22="","",IF(IF(D22&gt;=0,B22,A22)&lt;&gt;IF(C22&lt;0,B22,A22),"UPSET","-"))</f>
        <v/>
      </c>
      <c r="L22" s="12">
        <f>IF($Q22="","",19)</f>
        <v/>
      </c>
      <c r="M22" s="26">
        <f>IF($Q22="","",INDEX($A$4:$A$33,$Q22)&amp;" @ "&amp;INDEX($B$4:$B$33,$Q22))</f>
        <v/>
      </c>
      <c r="N22" s="52">
        <f>IF($Q22="","",INDEX($F$4:$F$33,$Q22))</f>
        <v/>
      </c>
      <c r="O22" s="26">
        <f>IF($Q22="","",INDEX($H$4:$H$33,$Q22))</f>
        <v/>
      </c>
      <c r="P22" s="28">
        <f>IF($Q22="","",INDEX($I$4:$I$33,$Q22))</f>
        <v/>
      </c>
      <c r="Q22" s="29">
        <f>IFERROR(MATCH(LARGE($G$4:$G$33,19),$G$4:$G$33,0),"")</f>
        <v/>
      </c>
    </row>
    <row r="23">
      <c r="A23" s="19" t="n"/>
      <c r="B23" s="19" t="n"/>
      <c r="C23" s="20" t="n"/>
      <c r="D23" s="31">
        <f>IF(OR(A23="",B23=""),"",ROUND((INDEX('Power Ratings'!$O$2:$O$139,MATCH(B23,'Power Ratings'!$B$2:$B$139,0))-INDEX('Power Ratings'!$O$2:$O$139,MATCH(A23,'Power Ratings'!$B$2:$B$139,0))+IF(LEFT(UPPER(K23),1)="Y",0,'Weights &amp; Params'!$B$12))*2,0)/2)</f>
        <v/>
      </c>
      <c r="E23" s="50">
        <f>IF(D23="","",-D23)</f>
        <v/>
      </c>
      <c r="F23" s="50">
        <f>IF(OR(A23="",B23="",C23=""),"",D23+C23)</f>
        <v/>
      </c>
      <c r="G23" s="51">
        <f>IF(F23="","",ABS(F23)+(1000-ROW())*0.0000001)</f>
        <v/>
      </c>
      <c r="H23" s="23">
        <f>IF(F23="","",IF(F23&gt;=0,B23,A23))</f>
        <v/>
      </c>
      <c r="I23" s="24">
        <f>IF(F23="","",MIN(0.99,NORMSDIST(ABS(F23)/'Weights &amp; Params'!$B$13)))</f>
        <v/>
      </c>
      <c r="J23" s="25">
        <f>IF(F23="","",IF(IF(D23&gt;=0,B23,A23)&lt;&gt;IF(C23&lt;0,B23,A23),"UPSET","-"))</f>
        <v/>
      </c>
      <c r="L23" s="12">
        <f>IF($Q23="","",20)</f>
        <v/>
      </c>
      <c r="M23" s="26">
        <f>IF($Q23="","",INDEX($A$4:$A$33,$Q23)&amp;" @ "&amp;INDEX($B$4:$B$33,$Q23))</f>
        <v/>
      </c>
      <c r="N23" s="52">
        <f>IF($Q23="","",INDEX($F$4:$F$33,$Q23))</f>
        <v/>
      </c>
      <c r="O23" s="26">
        <f>IF($Q23="","",INDEX($H$4:$H$33,$Q23))</f>
        <v/>
      </c>
      <c r="P23" s="28">
        <f>IF($Q23="","",INDEX($I$4:$I$33,$Q23))</f>
        <v/>
      </c>
      <c r="Q23" s="29">
        <f>IFERROR(MATCH(LARGE($G$4:$G$33,20),$G$4:$G$33,0),"")</f>
        <v/>
      </c>
    </row>
    <row r="24">
      <c r="A24" s="19" t="n"/>
      <c r="B24" s="19" t="n"/>
      <c r="C24" s="20" t="n"/>
      <c r="D24" s="31">
        <f>IF(OR(A24="",B24=""),"",ROUND((INDEX('Power Ratings'!$O$2:$O$139,MATCH(B24,'Power Ratings'!$B$2:$B$139,0))-INDEX('Power Ratings'!$O$2:$O$139,MATCH(A24,'Power Ratings'!$B$2:$B$139,0))+IF(LEFT(UPPER(K24),1)="Y",0,'Weights &amp; Params'!$B$12))*2,0)/2)</f>
        <v/>
      </c>
      <c r="E24" s="50">
        <f>IF(D24="","",-D24)</f>
        <v/>
      </c>
      <c r="F24" s="50">
        <f>IF(OR(A24="",B24="",C24=""),"",D24+C24)</f>
        <v/>
      </c>
      <c r="G24" s="51">
        <f>IF(F24="","",ABS(F24)+(1000-ROW())*0.0000001)</f>
        <v/>
      </c>
      <c r="H24" s="23">
        <f>IF(F24="","",IF(F24&gt;=0,B24,A24))</f>
        <v/>
      </c>
      <c r="I24" s="24">
        <f>IF(F24="","",MIN(0.99,NORMSDIST(ABS(F24)/'Weights &amp; Params'!$B$13)))</f>
        <v/>
      </c>
      <c r="J24" s="25">
        <f>IF(F24="","",IF(IF(D24&gt;=0,B24,A24)&lt;&gt;IF(C24&lt;0,B24,A24),"UPSET","-"))</f>
        <v/>
      </c>
      <c r="L24" s="12">
        <f>IF($Q24="","",21)</f>
        <v/>
      </c>
      <c r="M24" s="26">
        <f>IF($Q24="","",INDEX($A$4:$A$33,$Q24)&amp;" @ "&amp;INDEX($B$4:$B$33,$Q24))</f>
        <v/>
      </c>
      <c r="N24" s="52">
        <f>IF($Q24="","",INDEX($F$4:$F$33,$Q24))</f>
        <v/>
      </c>
      <c r="O24" s="26">
        <f>IF($Q24="","",INDEX($H$4:$H$33,$Q24))</f>
        <v/>
      </c>
      <c r="P24" s="28">
        <f>IF($Q24="","",INDEX($I$4:$I$33,$Q24))</f>
        <v/>
      </c>
      <c r="Q24" s="29">
        <f>IFERROR(MATCH(LARGE($G$4:$G$33,21),$G$4:$G$33,0),"")</f>
        <v/>
      </c>
    </row>
    <row r="25">
      <c r="A25" s="19" t="n"/>
      <c r="B25" s="19" t="n"/>
      <c r="C25" s="20" t="n"/>
      <c r="D25" s="31">
        <f>IF(OR(A25="",B25=""),"",ROUND((INDEX('Power Ratings'!$O$2:$O$139,MATCH(B25,'Power Ratings'!$B$2:$B$139,0))-INDEX('Power Ratings'!$O$2:$O$139,MATCH(A25,'Power Ratings'!$B$2:$B$139,0))+IF(LEFT(UPPER(K25),1)="Y",0,'Weights &amp; Params'!$B$12))*2,0)/2)</f>
        <v/>
      </c>
      <c r="E25" s="50">
        <f>IF(D25="","",-D25)</f>
        <v/>
      </c>
      <c r="F25" s="50">
        <f>IF(OR(A25="",B25="",C25=""),"",D25+C25)</f>
        <v/>
      </c>
      <c r="G25" s="51">
        <f>IF(F25="","",ABS(F25)+(1000-ROW())*0.0000001)</f>
        <v/>
      </c>
      <c r="H25" s="23">
        <f>IF(F25="","",IF(F25&gt;=0,B25,A25))</f>
        <v/>
      </c>
      <c r="I25" s="24">
        <f>IF(F25="","",MIN(0.99,NORMSDIST(ABS(F25)/'Weights &amp; Params'!$B$13)))</f>
        <v/>
      </c>
      <c r="J25" s="25">
        <f>IF(F25="","",IF(IF(D25&gt;=0,B25,A25)&lt;&gt;IF(C25&lt;0,B25,A25),"UPSET","-"))</f>
        <v/>
      </c>
      <c r="L25" s="12">
        <f>IF($Q25="","",22)</f>
        <v/>
      </c>
      <c r="M25" s="26">
        <f>IF($Q25="","",INDEX($A$4:$A$33,$Q25)&amp;" @ "&amp;INDEX($B$4:$B$33,$Q25))</f>
        <v/>
      </c>
      <c r="N25" s="52">
        <f>IF($Q25="","",INDEX($F$4:$F$33,$Q25))</f>
        <v/>
      </c>
      <c r="O25" s="26">
        <f>IF($Q25="","",INDEX($H$4:$H$33,$Q25))</f>
        <v/>
      </c>
      <c r="P25" s="28">
        <f>IF($Q25="","",INDEX($I$4:$I$33,$Q25))</f>
        <v/>
      </c>
      <c r="Q25" s="29">
        <f>IFERROR(MATCH(LARGE($G$4:$G$33,22),$G$4:$G$33,0),"")</f>
        <v/>
      </c>
    </row>
    <row r="26">
      <c r="A26" s="19" t="n"/>
      <c r="B26" s="19" t="n"/>
      <c r="C26" s="20" t="n"/>
      <c r="D26" s="31">
        <f>IF(OR(A26="",B26=""),"",ROUND((INDEX('Power Ratings'!$O$2:$O$139,MATCH(B26,'Power Ratings'!$B$2:$B$139,0))-INDEX('Power Ratings'!$O$2:$O$139,MATCH(A26,'Power Ratings'!$B$2:$B$139,0))+IF(LEFT(UPPER(K26),1)="Y",0,'Weights &amp; Params'!$B$12))*2,0)/2)</f>
        <v/>
      </c>
      <c r="E26" s="50">
        <f>IF(D26="","",-D26)</f>
        <v/>
      </c>
      <c r="F26" s="50">
        <f>IF(OR(A26="",B26="",C26=""),"",D26+C26)</f>
        <v/>
      </c>
      <c r="G26" s="51">
        <f>IF(F26="","",ABS(F26)+(1000-ROW())*0.0000001)</f>
        <v/>
      </c>
      <c r="H26" s="23">
        <f>IF(F26="","",IF(F26&gt;=0,B26,A26))</f>
        <v/>
      </c>
      <c r="I26" s="24">
        <f>IF(F26="","",MIN(0.99,NORMSDIST(ABS(F26)/'Weights &amp; Params'!$B$13)))</f>
        <v/>
      </c>
      <c r="J26" s="25">
        <f>IF(F26="","",IF(IF(D26&gt;=0,B26,A26)&lt;&gt;IF(C26&lt;0,B26,A26),"UPSET","-"))</f>
        <v/>
      </c>
      <c r="L26" s="12">
        <f>IF($Q26="","",23)</f>
        <v/>
      </c>
      <c r="M26" s="26">
        <f>IF($Q26="","",INDEX($A$4:$A$33,$Q26)&amp;" @ "&amp;INDEX($B$4:$B$33,$Q26))</f>
        <v/>
      </c>
      <c r="N26" s="52">
        <f>IF($Q26="","",INDEX($F$4:$F$33,$Q26))</f>
        <v/>
      </c>
      <c r="O26" s="26">
        <f>IF($Q26="","",INDEX($H$4:$H$33,$Q26))</f>
        <v/>
      </c>
      <c r="P26" s="28">
        <f>IF($Q26="","",INDEX($I$4:$I$33,$Q26))</f>
        <v/>
      </c>
      <c r="Q26" s="29">
        <f>IFERROR(MATCH(LARGE($G$4:$G$33,23),$G$4:$G$33,0),"")</f>
        <v/>
      </c>
    </row>
    <row r="27">
      <c r="A27" s="19" t="n"/>
      <c r="B27" s="19" t="n"/>
      <c r="C27" s="20" t="n"/>
      <c r="D27" s="31">
        <f>IF(OR(A27="",B27=""),"",ROUND((INDEX('Power Ratings'!$O$2:$O$139,MATCH(B27,'Power Ratings'!$B$2:$B$139,0))-INDEX('Power Ratings'!$O$2:$O$139,MATCH(A27,'Power Ratings'!$B$2:$B$139,0))+IF(LEFT(UPPER(K27),1)="Y",0,'Weights &amp; Params'!$B$12))*2,0)/2)</f>
        <v/>
      </c>
      <c r="E27" s="50">
        <f>IF(D27="","",-D27)</f>
        <v/>
      </c>
      <c r="F27" s="50">
        <f>IF(OR(A27="",B27="",C27=""),"",D27+C27)</f>
        <v/>
      </c>
      <c r="G27" s="51">
        <f>IF(F27="","",ABS(F27)+(1000-ROW())*0.0000001)</f>
        <v/>
      </c>
      <c r="H27" s="23">
        <f>IF(F27="","",IF(F27&gt;=0,B27,A27))</f>
        <v/>
      </c>
      <c r="I27" s="24">
        <f>IF(F27="","",MIN(0.99,NORMSDIST(ABS(F27)/'Weights &amp; Params'!$B$13)))</f>
        <v/>
      </c>
      <c r="J27" s="25">
        <f>IF(F27="","",IF(IF(D27&gt;=0,B27,A27)&lt;&gt;IF(C27&lt;0,B27,A27),"UPSET","-"))</f>
        <v/>
      </c>
      <c r="L27" s="12">
        <f>IF($Q27="","",24)</f>
        <v/>
      </c>
      <c r="M27" s="26">
        <f>IF($Q27="","",INDEX($A$4:$A$33,$Q27)&amp;" @ "&amp;INDEX($B$4:$B$33,$Q27))</f>
        <v/>
      </c>
      <c r="N27" s="52">
        <f>IF($Q27="","",INDEX($F$4:$F$33,$Q27))</f>
        <v/>
      </c>
      <c r="O27" s="26">
        <f>IF($Q27="","",INDEX($H$4:$H$33,$Q27))</f>
        <v/>
      </c>
      <c r="P27" s="28">
        <f>IF($Q27="","",INDEX($I$4:$I$33,$Q27))</f>
        <v/>
      </c>
      <c r="Q27" s="29">
        <f>IFERROR(MATCH(LARGE($G$4:$G$33,24),$G$4:$G$33,0),"")</f>
        <v/>
      </c>
    </row>
    <row r="28">
      <c r="A28" s="19" t="n"/>
      <c r="B28" s="19" t="n"/>
      <c r="C28" s="20" t="n"/>
      <c r="D28" s="31">
        <f>IF(OR(A28="",B28=""),"",ROUND((INDEX('Power Ratings'!$O$2:$O$139,MATCH(B28,'Power Ratings'!$B$2:$B$139,0))-INDEX('Power Ratings'!$O$2:$O$139,MATCH(A28,'Power Ratings'!$B$2:$B$139,0))+IF(LEFT(UPPER(K28),1)="Y",0,'Weights &amp; Params'!$B$12))*2,0)/2)</f>
        <v/>
      </c>
      <c r="E28" s="50">
        <f>IF(D28="","",-D28)</f>
        <v/>
      </c>
      <c r="F28" s="50">
        <f>IF(OR(A28="",B28="",C28=""),"",D28+C28)</f>
        <v/>
      </c>
      <c r="G28" s="51">
        <f>IF(F28="","",ABS(F28)+(1000-ROW())*0.0000001)</f>
        <v/>
      </c>
      <c r="H28" s="23">
        <f>IF(F28="","",IF(F28&gt;=0,B28,A28))</f>
        <v/>
      </c>
      <c r="I28" s="24">
        <f>IF(F28="","",MIN(0.99,NORMSDIST(ABS(F28)/'Weights &amp; Params'!$B$13)))</f>
        <v/>
      </c>
      <c r="J28" s="25">
        <f>IF(F28="","",IF(IF(D28&gt;=0,B28,A28)&lt;&gt;IF(C28&lt;0,B28,A28),"UPSET","-"))</f>
        <v/>
      </c>
      <c r="L28" s="12">
        <f>IF($Q28="","",25)</f>
        <v/>
      </c>
      <c r="M28" s="26">
        <f>IF($Q28="","",INDEX($A$4:$A$33,$Q28)&amp;" @ "&amp;INDEX($B$4:$B$33,$Q28))</f>
        <v/>
      </c>
      <c r="N28" s="52">
        <f>IF($Q28="","",INDEX($F$4:$F$33,$Q28))</f>
        <v/>
      </c>
      <c r="O28" s="26">
        <f>IF($Q28="","",INDEX($H$4:$H$33,$Q28))</f>
        <v/>
      </c>
      <c r="P28" s="28">
        <f>IF($Q28="","",INDEX($I$4:$I$33,$Q28))</f>
        <v/>
      </c>
      <c r="Q28" s="29">
        <f>IFERROR(MATCH(LARGE($G$4:$G$33,25),$G$4:$G$33,0),"")</f>
        <v/>
      </c>
    </row>
    <row r="29">
      <c r="A29" s="19" t="n"/>
      <c r="B29" s="19" t="n"/>
      <c r="C29" s="20" t="n"/>
      <c r="D29" s="31">
        <f>IF(OR(A29="",B29=""),"",ROUND((INDEX('Power Ratings'!$O$2:$O$139,MATCH(B29,'Power Ratings'!$B$2:$B$139,0))-INDEX('Power Ratings'!$O$2:$O$139,MATCH(A29,'Power Ratings'!$B$2:$B$139,0))+IF(LEFT(UPPER(K29),1)="Y",0,'Weights &amp; Params'!$B$12))*2,0)/2)</f>
        <v/>
      </c>
      <c r="E29" s="50">
        <f>IF(D29="","",-D29)</f>
        <v/>
      </c>
      <c r="F29" s="50">
        <f>IF(OR(A29="",B29="",C29=""),"",D29+C29)</f>
        <v/>
      </c>
      <c r="G29" s="51">
        <f>IF(F29="","",ABS(F29)+(1000-ROW())*0.0000001)</f>
        <v/>
      </c>
      <c r="H29" s="23">
        <f>IF(F29="","",IF(F29&gt;=0,B29,A29))</f>
        <v/>
      </c>
      <c r="I29" s="24">
        <f>IF(F29="","",MIN(0.99,NORMSDIST(ABS(F29)/'Weights &amp; Params'!$B$13)))</f>
        <v/>
      </c>
      <c r="J29" s="25">
        <f>IF(F29="","",IF(IF(D29&gt;=0,B29,A29)&lt;&gt;IF(C29&lt;0,B29,A29),"UPSET","-"))</f>
        <v/>
      </c>
      <c r="L29" s="12">
        <f>IF($Q29="","",26)</f>
        <v/>
      </c>
      <c r="M29" s="26">
        <f>IF($Q29="","",INDEX($A$4:$A$33,$Q29)&amp;" @ "&amp;INDEX($B$4:$B$33,$Q29))</f>
        <v/>
      </c>
      <c r="N29" s="52">
        <f>IF($Q29="","",INDEX($F$4:$F$33,$Q29))</f>
        <v/>
      </c>
      <c r="O29" s="26">
        <f>IF($Q29="","",INDEX($H$4:$H$33,$Q29))</f>
        <v/>
      </c>
      <c r="P29" s="28">
        <f>IF($Q29="","",INDEX($I$4:$I$33,$Q29))</f>
        <v/>
      </c>
      <c r="Q29" s="29">
        <f>IFERROR(MATCH(LARGE($G$4:$G$33,26),$G$4:$G$33,0),"")</f>
        <v/>
      </c>
    </row>
    <row r="30">
      <c r="A30" s="19" t="n"/>
      <c r="B30" s="19" t="n"/>
      <c r="C30" s="20" t="n"/>
      <c r="D30" s="31">
        <f>IF(OR(A30="",B30=""),"",ROUND((INDEX('Power Ratings'!$O$2:$O$139,MATCH(B30,'Power Ratings'!$B$2:$B$139,0))-INDEX('Power Ratings'!$O$2:$O$139,MATCH(A30,'Power Ratings'!$B$2:$B$139,0))+IF(LEFT(UPPER(K30),1)="Y",0,'Weights &amp; Params'!$B$12))*2,0)/2)</f>
        <v/>
      </c>
      <c r="E30" s="50">
        <f>IF(D30="","",-D30)</f>
        <v/>
      </c>
      <c r="F30" s="50">
        <f>IF(OR(A30="",B30="",C30=""),"",D30+C30)</f>
        <v/>
      </c>
      <c r="G30" s="51">
        <f>IF(F30="","",ABS(F30)+(1000-ROW())*0.0000001)</f>
        <v/>
      </c>
      <c r="H30" s="23">
        <f>IF(F30="","",IF(F30&gt;=0,B30,A30))</f>
        <v/>
      </c>
      <c r="I30" s="24">
        <f>IF(F30="","",MIN(0.99,NORMSDIST(ABS(F30)/'Weights &amp; Params'!$B$13)))</f>
        <v/>
      </c>
      <c r="J30" s="25">
        <f>IF(F30="","",IF(IF(D30&gt;=0,B30,A30)&lt;&gt;IF(C30&lt;0,B30,A30),"UPSET","-"))</f>
        <v/>
      </c>
      <c r="L30" s="12">
        <f>IF($Q30="","",27)</f>
        <v/>
      </c>
      <c r="M30" s="26">
        <f>IF($Q30="","",INDEX($A$4:$A$33,$Q30)&amp;" @ "&amp;INDEX($B$4:$B$33,$Q30))</f>
        <v/>
      </c>
      <c r="N30" s="52">
        <f>IF($Q30="","",INDEX($F$4:$F$33,$Q30))</f>
        <v/>
      </c>
      <c r="O30" s="26">
        <f>IF($Q30="","",INDEX($H$4:$H$33,$Q30))</f>
        <v/>
      </c>
      <c r="P30" s="28">
        <f>IF($Q30="","",INDEX($I$4:$I$33,$Q30))</f>
        <v/>
      </c>
      <c r="Q30" s="29">
        <f>IFERROR(MATCH(LARGE($G$4:$G$33,27),$G$4:$G$33,0),"")</f>
        <v/>
      </c>
    </row>
    <row r="31">
      <c r="A31" s="19" t="n"/>
      <c r="B31" s="19" t="n"/>
      <c r="C31" s="20" t="n"/>
      <c r="D31" s="31">
        <f>IF(OR(A31="",B31=""),"",ROUND((INDEX('Power Ratings'!$O$2:$O$139,MATCH(B31,'Power Ratings'!$B$2:$B$139,0))-INDEX('Power Ratings'!$O$2:$O$139,MATCH(A31,'Power Ratings'!$B$2:$B$139,0))+IF(LEFT(UPPER(K31),1)="Y",0,'Weights &amp; Params'!$B$12))*2,0)/2)</f>
        <v/>
      </c>
      <c r="E31" s="50">
        <f>IF(D31="","",-D31)</f>
        <v/>
      </c>
      <c r="F31" s="50">
        <f>IF(OR(A31="",B31="",C31=""),"",D31+C31)</f>
        <v/>
      </c>
      <c r="G31" s="51">
        <f>IF(F31="","",ABS(F31)+(1000-ROW())*0.0000001)</f>
        <v/>
      </c>
      <c r="H31" s="23">
        <f>IF(F31="","",IF(F31&gt;=0,B31,A31))</f>
        <v/>
      </c>
      <c r="I31" s="24">
        <f>IF(F31="","",MIN(0.99,NORMSDIST(ABS(F31)/'Weights &amp; Params'!$B$13)))</f>
        <v/>
      </c>
      <c r="J31" s="25">
        <f>IF(F31="","",IF(IF(D31&gt;=0,B31,A31)&lt;&gt;IF(C31&lt;0,B31,A31),"UPSET","-"))</f>
        <v/>
      </c>
      <c r="L31" s="12">
        <f>IF($Q31="","",28)</f>
        <v/>
      </c>
      <c r="M31" s="26">
        <f>IF($Q31="","",INDEX($A$4:$A$33,$Q31)&amp;" @ "&amp;INDEX($B$4:$B$33,$Q31))</f>
        <v/>
      </c>
      <c r="N31" s="52">
        <f>IF($Q31="","",INDEX($F$4:$F$33,$Q31))</f>
        <v/>
      </c>
      <c r="O31" s="26">
        <f>IF($Q31="","",INDEX($H$4:$H$33,$Q31))</f>
        <v/>
      </c>
      <c r="P31" s="28">
        <f>IF($Q31="","",INDEX($I$4:$I$33,$Q31))</f>
        <v/>
      </c>
      <c r="Q31" s="29">
        <f>IFERROR(MATCH(LARGE($G$4:$G$33,28),$G$4:$G$33,0),"")</f>
        <v/>
      </c>
    </row>
    <row r="32">
      <c r="A32" s="19" t="n"/>
      <c r="B32" s="19" t="n"/>
      <c r="C32" s="20" t="n"/>
      <c r="D32" s="31">
        <f>IF(OR(A32="",B32=""),"",ROUND((INDEX('Power Ratings'!$O$2:$O$139,MATCH(B32,'Power Ratings'!$B$2:$B$139,0))-INDEX('Power Ratings'!$O$2:$O$139,MATCH(A32,'Power Ratings'!$B$2:$B$139,0))+IF(LEFT(UPPER(K32),1)="Y",0,'Weights &amp; Params'!$B$12))*2,0)/2)</f>
        <v/>
      </c>
      <c r="E32" s="50">
        <f>IF(D32="","",-D32)</f>
        <v/>
      </c>
      <c r="F32" s="50">
        <f>IF(OR(A32="",B32="",C32=""),"",D32+C32)</f>
        <v/>
      </c>
      <c r="G32" s="51">
        <f>IF(F32="","",ABS(F32)+(1000-ROW())*0.0000001)</f>
        <v/>
      </c>
      <c r="H32" s="23">
        <f>IF(F32="","",IF(F32&gt;=0,B32,A32))</f>
        <v/>
      </c>
      <c r="I32" s="24">
        <f>IF(F32="","",MIN(0.99,NORMSDIST(ABS(F32)/'Weights &amp; Params'!$B$13)))</f>
        <v/>
      </c>
      <c r="J32" s="25">
        <f>IF(F32="","",IF(IF(D32&gt;=0,B32,A32)&lt;&gt;IF(C32&lt;0,B32,A32),"UPSET","-"))</f>
        <v/>
      </c>
      <c r="L32" s="12">
        <f>IF($Q32="","",29)</f>
        <v/>
      </c>
      <c r="M32" s="26">
        <f>IF($Q32="","",INDEX($A$4:$A$33,$Q32)&amp;" @ "&amp;INDEX($B$4:$B$33,$Q32))</f>
        <v/>
      </c>
      <c r="N32" s="52">
        <f>IF($Q32="","",INDEX($F$4:$F$33,$Q32))</f>
        <v/>
      </c>
      <c r="O32" s="26">
        <f>IF($Q32="","",INDEX($H$4:$H$33,$Q32))</f>
        <v/>
      </c>
      <c r="P32" s="28">
        <f>IF($Q32="","",INDEX($I$4:$I$33,$Q32))</f>
        <v/>
      </c>
      <c r="Q32" s="29">
        <f>IFERROR(MATCH(LARGE($G$4:$G$33,29),$G$4:$G$33,0),"")</f>
        <v/>
      </c>
    </row>
    <row r="33">
      <c r="A33" s="19" t="n"/>
      <c r="B33" s="19" t="n"/>
      <c r="C33" s="20" t="n"/>
      <c r="D33" s="31">
        <f>IF(OR(A33="",B33=""),"",ROUND((INDEX('Power Ratings'!$O$2:$O$139,MATCH(B33,'Power Ratings'!$B$2:$B$139,0))-INDEX('Power Ratings'!$O$2:$O$139,MATCH(A33,'Power Ratings'!$B$2:$B$139,0))+IF(LEFT(UPPER(K33),1)="Y",0,'Weights &amp; Params'!$B$12))*2,0)/2)</f>
        <v/>
      </c>
      <c r="E33" s="50">
        <f>IF(D33="","",-D33)</f>
        <v/>
      </c>
      <c r="F33" s="50">
        <f>IF(OR(A33="",B33="",C33=""),"",D33+C33)</f>
        <v/>
      </c>
      <c r="G33" s="51">
        <f>IF(F33="","",ABS(F33)+(1000-ROW())*0.0000001)</f>
        <v/>
      </c>
      <c r="H33" s="23">
        <f>IF(F33="","",IF(F33&gt;=0,B33,A33))</f>
        <v/>
      </c>
      <c r="I33" s="24">
        <f>IF(F33="","",MIN(0.99,NORMSDIST(ABS(F33)/'Weights &amp; Params'!$B$13)))</f>
        <v/>
      </c>
      <c r="J33" s="25">
        <f>IF(F33="","",IF(IF(D33&gt;=0,B33,A33)&lt;&gt;IF(C33&lt;0,B33,A33),"UPSET","-"))</f>
        <v/>
      </c>
      <c r="L33" s="12">
        <f>IF($Q33="","",30)</f>
        <v/>
      </c>
      <c r="M33" s="26">
        <f>IF($Q33="","",INDEX($A$4:$A$33,$Q33)&amp;" @ "&amp;INDEX($B$4:$B$33,$Q33))</f>
        <v/>
      </c>
      <c r="N33" s="52">
        <f>IF($Q33="","",INDEX($F$4:$F$33,$Q33))</f>
        <v/>
      </c>
      <c r="O33" s="26">
        <f>IF($Q33="","",INDEX($H$4:$H$33,$Q33))</f>
        <v/>
      </c>
      <c r="P33" s="28">
        <f>IF($Q33="","",INDEX($I$4:$I$33,$Q33))</f>
        <v/>
      </c>
      <c r="Q33" s="29">
        <f>IFERROR(MATCH(LARGE($G$4:$G$33,30),$G$4:$G$33,0),"")</f>
        <v/>
      </c>
    </row>
  </sheetData>
  <mergeCells count="2">
    <mergeCell ref="A2:K2"/>
    <mergeCell ref="A1:K1"/>
  </mergeCells>
  <dataValidations count="3">
    <dataValidation sqref="A4 A5 A6 A7 A8 A9 A10 A11 A12 A13 A14 A15 A16 A17 A18 A19 A20 A21 A22 A23 A24 A25 A26 A27 A28 A29 A30 A31 A32 A33" showDropDown="0" showInputMessage="0" showErrorMessage="0" allowBlank="1" type="list">
      <formula1>=TeamList</formula1>
    </dataValidation>
    <dataValidation sqref="B4 B5 B6 B7 B8 B9 B10 B11 B12 B13 B14 B15 B16 B17 B18 B19 B20 B21 B22 B23 B24 B25 B26 B27 B28 B29 B30 B31 B32 B33" showDropDown="0" showInputMessage="0" showErrorMessage="0" allowBlank="1" type="list">
      <formula1>=TeamList</formula1>
    </dataValidation>
    <dataValidation sqref="K4:K33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20" customWidth="1" min="3" max="3"/>
    <col width="20" customWidth="1" min="4" max="4"/>
    <col width="26" customWidth="1" min="5" max="5"/>
    <col width="10" customWidth="1" min="6" max="6"/>
    <col hidden="1" width="22" customWidth="1" min="7" max="7"/>
  </cols>
  <sheetData>
    <row r="1" ht="20" customHeight="1">
      <c r="A1" s="74" t="inlineStr">
        <is>
          <t>Date</t>
        </is>
      </c>
      <c r="B1" s="74" t="inlineStr">
        <is>
          <t>Week</t>
        </is>
      </c>
      <c r="C1" s="74" t="inlineStr">
        <is>
          <t>Away</t>
        </is>
      </c>
      <c r="D1" s="74" t="inlineStr">
        <is>
          <t>Home</t>
        </is>
      </c>
      <c r="E1" s="74" t="inlineStr">
        <is>
          <t>Site</t>
        </is>
      </c>
      <c r="F1" s="74" t="inlineStr">
        <is>
          <t>Result</t>
        </is>
      </c>
      <c r="G1" s="74" t="inlineStr">
        <is>
          <t>Key</t>
        </is>
      </c>
    </row>
    <row r="2">
      <c r="A2" s="75" t="inlineStr">
        <is>
          <t>Sat Aug 29  12:00 PM ET</t>
        </is>
      </c>
      <c r="B2" t="n">
        <v>1</v>
      </c>
      <c r="C2" t="inlineStr">
        <is>
          <t>North Carolina</t>
        </is>
      </c>
      <c r="D2" t="inlineStr">
        <is>
          <t>TCU</t>
        </is>
      </c>
      <c r="E2" t="inlineStr">
        <is>
          <t>Neutral site</t>
        </is>
      </c>
      <c r="F2" t="inlineStr">
        <is>
          <t>15-10</t>
        </is>
      </c>
      <c r="G2" t="inlineStr">
        <is>
          <t>North Carolina|TCU</t>
        </is>
      </c>
    </row>
    <row r="3">
      <c r="A3" t="inlineStr">
        <is>
          <t>Sat Aug 29  3:00 PM ET</t>
        </is>
      </c>
      <c r="B3" t="n">
        <v>1</v>
      </c>
      <c r="C3" t="inlineStr">
        <is>
          <t>San Jose State</t>
        </is>
      </c>
      <c r="D3" t="inlineStr">
        <is>
          <t>USC</t>
        </is>
      </c>
      <c r="E3" t="inlineStr">
        <is>
          <t>Los Angeles Memorial Coliseum</t>
        </is>
      </c>
      <c r="F3" t="inlineStr">
        <is>
          <t>26-42</t>
        </is>
      </c>
      <c r="G3" t="inlineStr">
        <is>
          <t>San Jose State|USC</t>
        </is>
      </c>
    </row>
    <row r="4">
      <c r="A4" t="inlineStr">
        <is>
          <t>Sat Aug 29  3:30 PM ET</t>
        </is>
      </c>
      <c r="B4" t="n">
        <v>1</v>
      </c>
      <c r="C4" t="inlineStr">
        <is>
          <t>NC State</t>
        </is>
      </c>
      <c r="D4" t="inlineStr">
        <is>
          <t>Virginia</t>
        </is>
      </c>
      <c r="E4" t="inlineStr">
        <is>
          <t>Scott Stadium</t>
        </is>
      </c>
      <c r="F4" t="inlineStr">
        <is>
          <t>8-34</t>
        </is>
      </c>
      <c r="G4" t="inlineStr">
        <is>
          <t>NC State|Virginia</t>
        </is>
      </c>
    </row>
    <row r="5">
      <c r="A5" t="inlineStr">
        <is>
          <t>Sat Aug 29  5:30 PM ET</t>
        </is>
      </c>
      <c r="B5" t="n">
        <v>1</v>
      </c>
      <c r="C5" t="inlineStr">
        <is>
          <t>Jacksonville State</t>
        </is>
      </c>
      <c r="D5" t="inlineStr">
        <is>
          <t>North Dakota State</t>
        </is>
      </c>
      <c r="E5" t="inlineStr">
        <is>
          <t>Fargodome</t>
        </is>
      </c>
      <c r="F5" t="inlineStr">
        <is>
          <t>7-33</t>
        </is>
      </c>
      <c r="G5" t="inlineStr">
        <is>
          <t>Jacksonville State|North Dakota State</t>
        </is>
      </c>
    </row>
    <row r="6">
      <c r="A6" t="inlineStr">
        <is>
          <t>Sat Aug 29  6:30 PM ET</t>
        </is>
      </c>
      <c r="B6" t="n">
        <v>1</v>
      </c>
      <c r="C6" t="inlineStr">
        <is>
          <t>Sacramento State</t>
        </is>
      </c>
      <c r="D6" t="inlineStr">
        <is>
          <t>Eastern Michigan</t>
        </is>
      </c>
      <c r="E6" t="inlineStr">
        <is>
          <t>Rynearson Stadium</t>
        </is>
      </c>
      <c r="F6" t="inlineStr">
        <is>
          <t>17-28</t>
        </is>
      </c>
      <c r="G6" t="inlineStr">
        <is>
          <t>Eastern Michigan|Sacramento State</t>
        </is>
      </c>
    </row>
    <row r="7">
      <c r="A7" t="inlineStr">
        <is>
          <t>Sat Aug 29  7:00 PM ET</t>
        </is>
      </c>
      <c r="B7" t="n">
        <v>1</v>
      </c>
      <c r="C7" t="inlineStr">
        <is>
          <t>New Mexico State</t>
        </is>
      </c>
      <c r="D7" t="inlineStr">
        <is>
          <t>Florida State</t>
        </is>
      </c>
      <c r="E7" t="inlineStr">
        <is>
          <t>Doak Campbell Stadium</t>
        </is>
      </c>
      <c r="F7" t="inlineStr">
        <is>
          <t>17-34</t>
        </is>
      </c>
      <c r="G7" t="inlineStr">
        <is>
          <t>Florida State|New Mexico State</t>
        </is>
      </c>
    </row>
    <row r="8">
      <c r="A8" t="inlineStr">
        <is>
          <t>Sat Aug 29  7:00 PM ET</t>
        </is>
      </c>
      <c r="B8" t="n">
        <v>1</v>
      </c>
      <c r="C8" t="inlineStr">
        <is>
          <t>Hawaii</t>
        </is>
      </c>
      <c r="D8" t="inlineStr">
        <is>
          <t>Stanford</t>
        </is>
      </c>
      <c r="E8" t="inlineStr">
        <is>
          <t>Stanford Stadium</t>
        </is>
      </c>
      <c r="F8" t="inlineStr">
        <is>
          <t>27-37</t>
        </is>
      </c>
      <c r="G8" t="inlineStr">
        <is>
          <t>Hawaii|Stanford</t>
        </is>
      </c>
    </row>
    <row r="9">
      <c r="A9" t="inlineStr">
        <is>
          <t>Sat Aug 29  10:00 PM ET</t>
        </is>
      </c>
      <c r="B9" t="n">
        <v>1</v>
      </c>
      <c r="C9" t="inlineStr">
        <is>
          <t>Memphis</t>
        </is>
      </c>
      <c r="D9" t="inlineStr">
        <is>
          <t>UNLV</t>
        </is>
      </c>
      <c r="E9" t="inlineStr">
        <is>
          <t>Allegiant Stadium</t>
        </is>
      </c>
      <c r="F9" t="inlineStr">
        <is>
          <t>27-21</t>
        </is>
      </c>
      <c r="G9" t="inlineStr">
        <is>
          <t>Memphis|UNLV</t>
        </is>
      </c>
    </row>
    <row r="10">
      <c r="A10" t="inlineStr">
        <is>
          <t>Thu Sep 03  6:00 PM ET</t>
        </is>
      </c>
      <c r="B10" t="n">
        <v>1</v>
      </c>
      <c r="C10" t="inlineStr">
        <is>
          <t>UMass</t>
        </is>
      </c>
      <c r="D10" t="inlineStr">
        <is>
          <t>Rutgers</t>
        </is>
      </c>
      <c r="E10" t="inlineStr">
        <is>
          <t>SHI Stadium</t>
        </is>
      </c>
      <c r="F10" t="inlineStr">
        <is>
          <t>37-21</t>
        </is>
      </c>
      <c r="G10" t="inlineStr">
        <is>
          <t>Rutgers|UMass</t>
        </is>
      </c>
    </row>
    <row r="11">
      <c r="A11" t="inlineStr">
        <is>
          <t>Thu Sep 03  7:00 PM ET</t>
        </is>
      </c>
      <c r="B11" t="n">
        <v>1</v>
      </c>
      <c r="C11" t="inlineStr">
        <is>
          <t>Merrimack</t>
        </is>
      </c>
      <c r="D11" t="inlineStr">
        <is>
          <t>Delaware</t>
        </is>
      </c>
      <c r="E11" t="inlineStr">
        <is>
          <t>Delaware Stadium</t>
        </is>
      </c>
      <c r="F11" t="inlineStr">
        <is>
          <t>7-42</t>
        </is>
      </c>
      <c r="G11" t="inlineStr">
        <is>
          <t>Delaware|Merrimack</t>
        </is>
      </c>
    </row>
    <row r="12">
      <c r="A12" t="inlineStr">
        <is>
          <t>Thu Sep 03  7:00 PM ET</t>
        </is>
      </c>
      <c r="B12" t="n">
        <v>1</v>
      </c>
      <c r="C12" t="inlineStr">
        <is>
          <t>UAlbany</t>
        </is>
      </c>
      <c r="D12" t="inlineStr">
        <is>
          <t>Buffalo</t>
        </is>
      </c>
      <c r="E12" t="inlineStr">
        <is>
          <t>UB Stadium</t>
        </is>
      </c>
      <c r="F12" t="inlineStr">
        <is>
          <t>17-21</t>
        </is>
      </c>
      <c r="G12" t="inlineStr">
        <is>
          <t>Buffalo|UAlbany</t>
        </is>
      </c>
    </row>
    <row r="13">
      <c r="A13" t="inlineStr">
        <is>
          <t>Thu Sep 03  7:00 PM ET</t>
        </is>
      </c>
      <c r="B13" t="n">
        <v>1</v>
      </c>
      <c r="C13" t="inlineStr">
        <is>
          <t>Akron</t>
        </is>
      </c>
      <c r="D13" t="inlineStr">
        <is>
          <t>Wake Forest</t>
        </is>
      </c>
      <c r="E13" t="inlineStr">
        <is>
          <t>Allegacy Federal Credit Union Stadium</t>
        </is>
      </c>
      <c r="F13" t="inlineStr">
        <is>
          <t>16-38</t>
        </is>
      </c>
      <c r="G13" t="inlineStr">
        <is>
          <t>Akron|Wake Forest</t>
        </is>
      </c>
    </row>
    <row r="14">
      <c r="A14" t="inlineStr">
        <is>
          <t>Thu Sep 03  7:00 PM ET</t>
        </is>
      </c>
      <c r="B14" t="n">
        <v>1</v>
      </c>
      <c r="C14" t="inlineStr">
        <is>
          <t>Bethune-Cookman</t>
        </is>
      </c>
      <c r="D14" t="inlineStr">
        <is>
          <t>UCF</t>
        </is>
      </c>
      <c r="E14" t="inlineStr">
        <is>
          <t>FBC Mortgage Stadium</t>
        </is>
      </c>
      <c r="F14" t="inlineStr">
        <is>
          <t>6-73</t>
        </is>
      </c>
      <c r="G14" t="inlineStr">
        <is>
          <t>Bethune-Cookman|UCF</t>
        </is>
      </c>
    </row>
    <row r="15">
      <c r="A15" t="inlineStr">
        <is>
          <t>Thu Sep 03  7:00 PM ET</t>
        </is>
      </c>
      <c r="B15" t="n">
        <v>1</v>
      </c>
      <c r="C15" t="inlineStr">
        <is>
          <t>West Georgia</t>
        </is>
      </c>
      <c r="D15" t="inlineStr">
        <is>
          <t>Kennesaw State</t>
        </is>
      </c>
      <c r="E15" t="inlineStr">
        <is>
          <t>Fifth Third Stadium</t>
        </is>
      </c>
      <c r="F15" t="inlineStr">
        <is>
          <t>0-47</t>
        </is>
      </c>
      <c r="G15" t="inlineStr">
        <is>
          <t>Kennesaw State|West Georgia</t>
        </is>
      </c>
    </row>
    <row r="16">
      <c r="A16" t="inlineStr">
        <is>
          <t>Thu Sep 03  8:00 PM ET</t>
        </is>
      </c>
      <c r="B16" t="n">
        <v>1</v>
      </c>
      <c r="C16" t="inlineStr">
        <is>
          <t>Eastern Illinois</t>
        </is>
      </c>
      <c r="D16" t="inlineStr">
        <is>
          <t>Minnesota</t>
        </is>
      </c>
      <c r="E16" t="inlineStr">
        <is>
          <t>Huntington Bank Stadium</t>
        </is>
      </c>
      <c r="F16" t="inlineStr">
        <is>
          <t>7-59</t>
        </is>
      </c>
      <c r="G16" t="inlineStr">
        <is>
          <t>Eastern Illinois|Minnesota</t>
        </is>
      </c>
    </row>
    <row r="17">
      <c r="A17" t="inlineStr">
        <is>
          <t>Thu Sep 03  8:00 PM ET</t>
        </is>
      </c>
      <c r="B17" t="n">
        <v>1</v>
      </c>
      <c r="C17" t="inlineStr">
        <is>
          <t>Colorado</t>
        </is>
      </c>
      <c r="D17" t="inlineStr">
        <is>
          <t>Georgia Tech</t>
        </is>
      </c>
      <c r="E17" t="inlineStr">
        <is>
          <t>Bobby Dodd Stadium</t>
        </is>
      </c>
      <c r="F17" t="inlineStr">
        <is>
          <t>14-13</t>
        </is>
      </c>
      <c r="G17" t="inlineStr">
        <is>
          <t>Colorado|Georgia Tech</t>
        </is>
      </c>
    </row>
    <row r="18">
      <c r="A18" t="inlineStr">
        <is>
          <t>Thu Sep 03  8:00 PM ET</t>
        </is>
      </c>
      <c r="B18" t="n">
        <v>1</v>
      </c>
      <c r="C18" t="inlineStr">
        <is>
          <t>Arkansas-Pine Bluff</t>
        </is>
      </c>
      <c r="D18" t="inlineStr">
        <is>
          <t>Missouri</t>
        </is>
      </c>
      <c r="E18" t="inlineStr">
        <is>
          <t>Memorial Stadium</t>
        </is>
      </c>
      <c r="F18" t="inlineStr">
        <is>
          <t>14-54</t>
        </is>
      </c>
      <c r="G18" t="inlineStr">
        <is>
          <t>Arkansas-Pine Bluff|Missouri</t>
        </is>
      </c>
    </row>
    <row r="19">
      <c r="A19" t="inlineStr">
        <is>
          <t>Thu Sep 03  9:00 PM ET</t>
        </is>
      </c>
      <c r="B19" t="n">
        <v>1</v>
      </c>
      <c r="C19" t="inlineStr">
        <is>
          <t>UAB</t>
        </is>
      </c>
      <c r="D19" t="inlineStr">
        <is>
          <t>Illinois</t>
        </is>
      </c>
      <c r="E19" t="inlineStr">
        <is>
          <t>Memorial Stadium (Champaign, IL)</t>
        </is>
      </c>
      <c r="F19" t="inlineStr">
        <is>
          <t>23-42</t>
        </is>
      </c>
      <c r="G19" t="inlineStr">
        <is>
          <t>Illinois|UAB</t>
        </is>
      </c>
    </row>
    <row r="20">
      <c r="A20" t="inlineStr">
        <is>
          <t>Thu Sep 03  9:00 PM ET</t>
        </is>
      </c>
      <c r="B20" t="n">
        <v>1</v>
      </c>
      <c r="C20" t="inlineStr">
        <is>
          <t>Idaho</t>
        </is>
      </c>
      <c r="D20" t="inlineStr">
        <is>
          <t>Utah</t>
        </is>
      </c>
      <c r="E20" t="inlineStr">
        <is>
          <t>Rice-Eccles Stadium</t>
        </is>
      </c>
      <c r="F20" t="inlineStr">
        <is>
          <t>14-66</t>
        </is>
      </c>
      <c r="G20" t="inlineStr">
        <is>
          <t>Idaho|Utah</t>
        </is>
      </c>
    </row>
    <row r="21">
      <c r="A21" t="inlineStr">
        <is>
          <t>Fri Sep 04  6:30 PM ET</t>
        </is>
      </c>
      <c r="B21" t="n">
        <v>1</v>
      </c>
      <c r="C21" t="inlineStr">
        <is>
          <t>San Jose State</t>
        </is>
      </c>
      <c r="D21" t="inlineStr">
        <is>
          <t>Eastern Michigan</t>
        </is>
      </c>
      <c r="E21" t="inlineStr">
        <is>
          <t>Rynearson Stadium</t>
        </is>
      </c>
      <c r="F21" t="inlineStr">
        <is>
          <t>27-21</t>
        </is>
      </c>
      <c r="G21" t="inlineStr">
        <is>
          <t>Eastern Michigan|San Jose State</t>
        </is>
      </c>
    </row>
    <row r="22">
      <c r="A22" t="inlineStr">
        <is>
          <t>Fri Sep 04  7:00 PM ET</t>
        </is>
      </c>
      <c r="B22" t="n">
        <v>1</v>
      </c>
      <c r="C22" t="inlineStr">
        <is>
          <t>North Carolina A&amp;T</t>
        </is>
      </c>
      <c r="D22" t="inlineStr">
        <is>
          <t>Georgia State</t>
        </is>
      </c>
      <c r="E22" t="inlineStr">
        <is>
          <t>Center Parc Stadium</t>
        </is>
      </c>
      <c r="F22" t="inlineStr">
        <is>
          <t>10-59</t>
        </is>
      </c>
      <c r="G22" t="inlineStr">
        <is>
          <t>Georgia State|North Carolina A&amp;T</t>
        </is>
      </c>
    </row>
    <row r="23">
      <c r="A23" t="inlineStr">
        <is>
          <t>Fri Sep 04  7:00 PM ET</t>
        </is>
      </c>
      <c r="B23" t="n">
        <v>1</v>
      </c>
      <c r="C23" t="inlineStr">
        <is>
          <t>Indiana State</t>
        </is>
      </c>
      <c r="D23" t="inlineStr">
        <is>
          <t>Purdue</t>
        </is>
      </c>
      <c r="E23" t="inlineStr">
        <is>
          <t>Ross-Ade Stadium</t>
        </is>
      </c>
      <c r="F23" t="inlineStr">
        <is>
          <t>19-44</t>
        </is>
      </c>
      <c r="G23" t="inlineStr">
        <is>
          <t>Indiana State|Purdue</t>
        </is>
      </c>
    </row>
    <row r="24">
      <c r="A24" t="inlineStr">
        <is>
          <t>Fri Sep 04  8:00 PM ET</t>
        </is>
      </c>
      <c r="B24" t="n">
        <v>1</v>
      </c>
      <c r="C24" t="inlineStr">
        <is>
          <t>Long Island University</t>
        </is>
      </c>
      <c r="D24" t="inlineStr">
        <is>
          <t>Kansas</t>
        </is>
      </c>
      <c r="E24" t="inlineStr">
        <is>
          <t>Memorial Stadium</t>
        </is>
      </c>
      <c r="F24" t="inlineStr">
        <is>
          <t>6-51</t>
        </is>
      </c>
      <c r="G24" t="inlineStr">
        <is>
          <t>Kansas|Long Island University</t>
        </is>
      </c>
    </row>
    <row r="25">
      <c r="A25" t="inlineStr">
        <is>
          <t>Fri Sep 04  8:00 PM ET</t>
        </is>
      </c>
      <c r="B25" t="n">
        <v>1</v>
      </c>
      <c r="C25" t="inlineStr">
        <is>
          <t>Toledo</t>
        </is>
      </c>
      <c r="D25" t="inlineStr">
        <is>
          <t>Michigan State</t>
        </is>
      </c>
      <c r="E25" t="inlineStr">
        <is>
          <t>Spartan Stadium</t>
        </is>
      </c>
      <c r="F25" t="inlineStr">
        <is>
          <t>20-30</t>
        </is>
      </c>
      <c r="G25" t="inlineStr">
        <is>
          <t>Michigan State|Toledo</t>
        </is>
      </c>
    </row>
    <row r="26">
      <c r="A26" t="inlineStr">
        <is>
          <t>Fri Sep 04  8:00 PM ET</t>
        </is>
      </c>
      <c r="B26" t="n">
        <v>1</v>
      </c>
      <c r="C26" t="inlineStr">
        <is>
          <t>UTEP</t>
        </is>
      </c>
      <c r="D26" t="inlineStr">
        <is>
          <t>Oklahoma</t>
        </is>
      </c>
      <c r="E26" t="inlineStr">
        <is>
          <t>Memorial Stadium (Norman, OK)</t>
        </is>
      </c>
      <c r="F26" t="inlineStr">
        <is>
          <t>0-51</t>
        </is>
      </c>
      <c r="G26" t="inlineStr">
        <is>
          <t>Oklahoma|UTEP</t>
        </is>
      </c>
    </row>
    <row r="27">
      <c r="A27" t="inlineStr">
        <is>
          <t>Fri Sep 04  9:00 PM ET</t>
        </is>
      </c>
      <c r="B27" t="n">
        <v>1</v>
      </c>
      <c r="C27" t="inlineStr">
        <is>
          <t>Miami</t>
        </is>
      </c>
      <c r="D27" t="inlineStr">
        <is>
          <t>Stanford</t>
        </is>
      </c>
      <c r="E27" t="inlineStr">
        <is>
          <t>Stanford Stadium</t>
        </is>
      </c>
      <c r="F27" t="inlineStr">
        <is>
          <t>45-6</t>
        </is>
      </c>
      <c r="G27" t="inlineStr">
        <is>
          <t>Miami|Stanford</t>
        </is>
      </c>
    </row>
    <row r="28">
      <c r="A28" t="inlineStr">
        <is>
          <t>Fri Sep 04  9:00 PM ET</t>
        </is>
      </c>
      <c r="B28" t="n">
        <v>1</v>
      </c>
      <c r="C28" t="inlineStr">
        <is>
          <t>Fresno State</t>
        </is>
      </c>
      <c r="D28" t="inlineStr">
        <is>
          <t>USC</t>
        </is>
      </c>
      <c r="E28" t="inlineStr">
        <is>
          <t>Los Angeles Memorial Coliseum</t>
        </is>
      </c>
      <c r="F28" t="inlineStr">
        <is>
          <t>0-39</t>
        </is>
      </c>
      <c r="G28" t="inlineStr">
        <is>
          <t>Fresno State|USC</t>
        </is>
      </c>
    </row>
    <row r="29">
      <c r="A29" t="inlineStr">
        <is>
          <t>Sat Sep 05  12:00 PM ET</t>
        </is>
      </c>
      <c r="B29" t="n">
        <v>1</v>
      </c>
      <c r="C29" t="inlineStr">
        <is>
          <t>New Hampshire</t>
        </is>
      </c>
      <c r="D29" t="inlineStr">
        <is>
          <t>Syracuse</t>
        </is>
      </c>
      <c r="E29" t="inlineStr">
        <is>
          <t>JMA Wireless Dome</t>
        </is>
      </c>
      <c r="F29" t="inlineStr">
        <is>
          <t>3-66</t>
        </is>
      </c>
      <c r="G29" t="inlineStr">
        <is>
          <t>New Hampshire|Syracuse</t>
        </is>
      </c>
    </row>
    <row r="30">
      <c r="A30" t="inlineStr">
        <is>
          <t>Sat Sep 05  12:00 PM ET</t>
        </is>
      </c>
      <c r="B30" t="n">
        <v>1</v>
      </c>
      <c r="C30" t="inlineStr">
        <is>
          <t>Lafayette</t>
        </is>
      </c>
      <c r="D30" t="inlineStr">
        <is>
          <t>UConn</t>
        </is>
      </c>
      <c r="E30" t="inlineStr">
        <is>
          <t>Pratt &amp; Whitney Stadium</t>
        </is>
      </c>
      <c r="F30" t="inlineStr">
        <is>
          <t>7-56</t>
        </is>
      </c>
      <c r="G30" t="inlineStr">
        <is>
          <t>Lafayette|UConn</t>
        </is>
      </c>
    </row>
    <row r="31">
      <c r="A31" t="inlineStr">
        <is>
          <t>Sat Sep 05  12:00 PM ET</t>
        </is>
      </c>
      <c r="B31" t="n">
        <v>1</v>
      </c>
      <c r="C31" t="inlineStr">
        <is>
          <t>Ohio</t>
        </is>
      </c>
      <c r="D31" t="inlineStr">
        <is>
          <t>Nebraska</t>
        </is>
      </c>
      <c r="E31" t="inlineStr">
        <is>
          <t>Memorial Stadium (Lincoln, NE)</t>
        </is>
      </c>
      <c r="F31" t="inlineStr">
        <is>
          <t>21-49</t>
        </is>
      </c>
      <c r="G31" t="inlineStr">
        <is>
          <t>Nebraska|Ohio</t>
        </is>
      </c>
    </row>
    <row r="32">
      <c r="A32" t="inlineStr">
        <is>
          <t>Sat Sep 05  12:00 PM ET</t>
        </is>
      </c>
      <c r="B32" t="n">
        <v>1</v>
      </c>
      <c r="C32" t="inlineStr">
        <is>
          <t>Coastal Carolina</t>
        </is>
      </c>
      <c r="D32" t="inlineStr">
        <is>
          <t>West Virginia</t>
        </is>
      </c>
      <c r="E32" t="inlineStr">
        <is>
          <t>Milan Puskar Stadium</t>
        </is>
      </c>
      <c r="F32" t="inlineStr">
        <is>
          <t>24-31</t>
        </is>
      </c>
      <c r="G32" t="inlineStr">
        <is>
          <t>Coastal Carolina|West Virginia</t>
        </is>
      </c>
    </row>
    <row r="33">
      <c r="A33" t="inlineStr">
        <is>
          <t>Sat Sep 05  12:00 PM ET</t>
        </is>
      </c>
      <c r="B33" t="n">
        <v>1</v>
      </c>
      <c r="C33" t="inlineStr">
        <is>
          <t>North Texas</t>
        </is>
      </c>
      <c r="D33" t="inlineStr">
        <is>
          <t>Indiana</t>
        </is>
      </c>
      <c r="E33" t="inlineStr">
        <is>
          <t>Memorial Stadium (Bloomington, IN)</t>
        </is>
      </c>
      <c r="F33" t="inlineStr">
        <is>
          <t>16-52</t>
        </is>
      </c>
      <c r="G33" t="inlineStr">
        <is>
          <t>Indiana|North Texas</t>
        </is>
      </c>
    </row>
    <row r="34">
      <c r="A34" t="inlineStr">
        <is>
          <t>Sat Sep 05  12:00 PM ET</t>
        </is>
      </c>
      <c r="B34" t="n">
        <v>1</v>
      </c>
      <c r="C34" t="inlineStr">
        <is>
          <t>East Carolina</t>
        </is>
      </c>
      <c r="D34" t="inlineStr">
        <is>
          <t>Alabama</t>
        </is>
      </c>
      <c r="E34" t="inlineStr">
        <is>
          <t>Bryant-Denny Stadium</t>
        </is>
      </c>
      <c r="F34" t="inlineStr">
        <is>
          <t>10-48</t>
        </is>
      </c>
      <c r="G34" t="inlineStr">
        <is>
          <t>Alabama|East Carolina</t>
        </is>
      </c>
    </row>
    <row r="35">
      <c r="A35" t="inlineStr">
        <is>
          <t>Sat Sep 05  12:00 PM ET</t>
        </is>
      </c>
      <c r="B35" t="n">
        <v>1</v>
      </c>
      <c r="C35" t="inlineStr">
        <is>
          <t>Oregon State</t>
        </is>
      </c>
      <c r="D35" t="inlineStr">
        <is>
          <t>Houston</t>
        </is>
      </c>
      <c r="E35" t="inlineStr">
        <is>
          <t>TDECU Stadium</t>
        </is>
      </c>
      <c r="F35" t="inlineStr">
        <is>
          <t>20-33</t>
        </is>
      </c>
      <c r="G35" t="inlineStr">
        <is>
          <t>Houston|Oregon State</t>
        </is>
      </c>
    </row>
    <row r="36">
      <c r="A36" t="inlineStr">
        <is>
          <t>Sat Sep 05  12:00 PM ET</t>
        </is>
      </c>
      <c r="B36" t="n">
        <v>1</v>
      </c>
      <c r="C36" t="inlineStr">
        <is>
          <t>Tarleton State</t>
        </is>
      </c>
      <c r="D36" t="inlineStr">
        <is>
          <t>Bowling Green</t>
        </is>
      </c>
      <c r="E36" t="inlineStr">
        <is>
          <t>Doyt L. Perry Stadium</t>
        </is>
      </c>
      <c r="F36" t="inlineStr">
        <is>
          <t>20-13</t>
        </is>
      </c>
      <c r="G36" t="inlineStr">
        <is>
          <t>Bowling Green|Tarleton State</t>
        </is>
      </c>
    </row>
    <row r="37">
      <c r="A37" t="inlineStr">
        <is>
          <t>Sat Sep 05  12:00 PM ET</t>
        </is>
      </c>
      <c r="B37" t="n">
        <v>1</v>
      </c>
      <c r="C37" t="inlineStr">
        <is>
          <t>Bryant</t>
        </is>
      </c>
      <c r="D37" t="inlineStr">
        <is>
          <t>Army</t>
        </is>
      </c>
      <c r="E37" t="inlineStr">
        <is>
          <t>Michie Stadium</t>
        </is>
      </c>
      <c r="F37" t="inlineStr">
        <is>
          <t>3-59</t>
        </is>
      </c>
      <c r="G37" t="inlineStr">
        <is>
          <t>Army|Bryant</t>
        </is>
      </c>
    </row>
    <row r="38">
      <c r="A38" t="inlineStr">
        <is>
          <t>Sat Sep 05  12:00 PM ET</t>
        </is>
      </c>
      <c r="B38" t="n">
        <v>1</v>
      </c>
      <c r="C38" t="inlineStr">
        <is>
          <t>Liberty</t>
        </is>
      </c>
      <c r="D38" t="inlineStr">
        <is>
          <t>James Madison</t>
        </is>
      </c>
      <c r="E38" t="inlineStr">
        <is>
          <t>Bridgeforth Stadium</t>
        </is>
      </c>
      <c r="F38" t="inlineStr">
        <is>
          <t>13-20</t>
        </is>
      </c>
      <c r="G38" t="inlineStr">
        <is>
          <t>James Madison|Liberty</t>
        </is>
      </c>
    </row>
    <row r="39">
      <c r="A39" t="inlineStr">
        <is>
          <t>Sat Sep 05  12:30 PM ET</t>
        </is>
      </c>
      <c r="B39" t="n">
        <v>1</v>
      </c>
      <c r="C39" t="inlineStr">
        <is>
          <t>Miami (OH)</t>
        </is>
      </c>
      <c r="D39" t="inlineStr">
        <is>
          <t>Pittsburgh</t>
        </is>
      </c>
      <c r="E39" t="inlineStr">
        <is>
          <t>Acrisure Stadium</t>
        </is>
      </c>
      <c r="F39" t="inlineStr">
        <is>
          <t>14-59</t>
        </is>
      </c>
      <c r="G39" t="inlineStr">
        <is>
          <t>Miami (OH)|Pittsburgh</t>
        </is>
      </c>
    </row>
    <row r="40">
      <c r="A40" t="inlineStr">
        <is>
          <t>Sat Sep 05  12:30 PM ET</t>
        </is>
      </c>
      <c r="B40" t="n">
        <v>1</v>
      </c>
      <c r="C40" t="inlineStr">
        <is>
          <t>Ball State</t>
        </is>
      </c>
      <c r="D40" t="inlineStr">
        <is>
          <t>Ohio State</t>
        </is>
      </c>
      <c r="E40" t="inlineStr">
        <is>
          <t>Ohio Stadium</t>
        </is>
      </c>
      <c r="F40" t="inlineStr">
        <is>
          <t>3-56</t>
        </is>
      </c>
      <c r="G40" t="inlineStr">
        <is>
          <t>Ball State|Ohio State</t>
        </is>
      </c>
    </row>
    <row r="41">
      <c r="A41" t="inlineStr">
        <is>
          <t>Sat Sep 05  12:45 PM ET</t>
        </is>
      </c>
      <c r="B41" t="n">
        <v>1</v>
      </c>
      <c r="C41" t="inlineStr">
        <is>
          <t>Kent State</t>
        </is>
      </c>
      <c r="D41" t="inlineStr">
        <is>
          <t>South Carolina</t>
        </is>
      </c>
      <c r="E41" t="inlineStr">
        <is>
          <t>Williams-Brice Stadium</t>
        </is>
      </c>
      <c r="F41" t="inlineStr">
        <is>
          <t>0-57</t>
        </is>
      </c>
      <c r="G41" t="inlineStr">
        <is>
          <t>Kent State|South Carolina</t>
        </is>
      </c>
    </row>
    <row r="42">
      <c r="A42" t="inlineStr">
        <is>
          <t>Sat Sep 05  1:00 PM ET</t>
        </is>
      </c>
      <c r="B42" t="n">
        <v>1</v>
      </c>
      <c r="C42" t="inlineStr">
        <is>
          <t>Duquesne</t>
        </is>
      </c>
      <c r="D42" t="inlineStr">
        <is>
          <t>Air Force</t>
        </is>
      </c>
      <c r="E42" t="inlineStr">
        <is>
          <t>Falcon Stadium</t>
        </is>
      </c>
      <c r="F42" t="inlineStr">
        <is>
          <t>0-34</t>
        </is>
      </c>
      <c r="G42" t="inlineStr">
        <is>
          <t>Air Force|Duquesne</t>
        </is>
      </c>
    </row>
    <row r="43">
      <c r="A43" t="inlineStr">
        <is>
          <t>Sat Sep 05  1:00 PM ET</t>
        </is>
      </c>
      <c r="B43" t="n">
        <v>1</v>
      </c>
      <c r="C43" t="inlineStr">
        <is>
          <t>Youngstown State</t>
        </is>
      </c>
      <c r="D43" t="inlineStr">
        <is>
          <t>Kentucky</t>
        </is>
      </c>
      <c r="E43" t="inlineStr">
        <is>
          <t>Kroger Field</t>
        </is>
      </c>
      <c r="F43" t="inlineStr">
        <is>
          <t>13-45</t>
        </is>
      </c>
      <c r="G43" t="inlineStr">
        <is>
          <t>Kentucky|Youngstown State</t>
        </is>
      </c>
    </row>
    <row r="44">
      <c r="A44" t="inlineStr">
        <is>
          <t>Sat Sep 05  1:00 PM ET</t>
        </is>
      </c>
      <c r="B44" t="n">
        <v>1</v>
      </c>
      <c r="C44" t="inlineStr">
        <is>
          <t>Southeast Missouri State</t>
        </is>
      </c>
      <c r="D44" t="inlineStr">
        <is>
          <t>Iowa State</t>
        </is>
      </c>
      <c r="E44" t="inlineStr">
        <is>
          <t>Jack Trice Stadium</t>
        </is>
      </c>
      <c r="F44" t="inlineStr">
        <is>
          <t>10-38</t>
        </is>
      </c>
      <c r="G44" t="inlineStr">
        <is>
          <t>Iowa State|Southeast Missouri State</t>
        </is>
      </c>
    </row>
    <row r="45">
      <c r="A45" t="inlineStr">
        <is>
          <t>Sat Sep 05  2:00 PM ET</t>
        </is>
      </c>
      <c r="B45" t="n">
        <v>1</v>
      </c>
      <c r="C45" t="inlineStr">
        <is>
          <t>Rhode Island</t>
        </is>
      </c>
      <c r="D45" t="inlineStr">
        <is>
          <t>Temple</t>
        </is>
      </c>
      <c r="E45" t="inlineStr">
        <is>
          <t>Lincoln Financial Field</t>
        </is>
      </c>
      <c r="F45" t="inlineStr">
        <is>
          <t>14-38</t>
        </is>
      </c>
      <c r="G45" t="inlineStr">
        <is>
          <t>Rhode Island|Temple</t>
        </is>
      </c>
    </row>
    <row r="46">
      <c r="A46" t="inlineStr">
        <is>
          <t>Sat Sep 05  3:00 PM ET</t>
        </is>
      </c>
      <c r="B46" t="n">
        <v>1</v>
      </c>
      <c r="C46" t="inlineStr">
        <is>
          <t>Tennessee State</t>
        </is>
      </c>
      <c r="D46" t="inlineStr">
        <is>
          <t>Georgia</t>
        </is>
      </c>
      <c r="E46" t="inlineStr">
        <is>
          <t>Sanford Stadium</t>
        </is>
      </c>
      <c r="F46" t="inlineStr">
        <is>
          <t>3-63</t>
        </is>
      </c>
      <c r="G46" t="inlineStr">
        <is>
          <t>Georgia|Tennessee State</t>
        </is>
      </c>
    </row>
    <row r="47">
      <c r="A47" t="inlineStr">
        <is>
          <t>Sat Sep 05  3:30 PM ET</t>
        </is>
      </c>
      <c r="B47" t="n">
        <v>1</v>
      </c>
      <c r="C47" t="inlineStr">
        <is>
          <t>Texas State</t>
        </is>
      </c>
      <c r="D47" t="inlineStr">
        <is>
          <t>Texas</t>
        </is>
      </c>
      <c r="E47" t="inlineStr">
        <is>
          <t>DKR-Texas Memorial Stadium</t>
        </is>
      </c>
      <c r="F47" t="inlineStr">
        <is>
          <t>7-59</t>
        </is>
      </c>
      <c r="G47" t="inlineStr">
        <is>
          <t>Texas|Texas State</t>
        </is>
      </c>
    </row>
    <row r="48">
      <c r="A48" t="inlineStr">
        <is>
          <t>Sat Sep 05  3:30 PM ET</t>
        </is>
      </c>
      <c r="B48" t="n">
        <v>1</v>
      </c>
      <c r="C48" t="inlineStr">
        <is>
          <t>Boise State</t>
        </is>
      </c>
      <c r="D48" t="inlineStr">
        <is>
          <t>Oregon</t>
        </is>
      </c>
      <c r="E48" t="inlineStr">
        <is>
          <t>Autzen Stadium</t>
        </is>
      </c>
      <c r="F48" t="inlineStr">
        <is>
          <t>27-34</t>
        </is>
      </c>
      <c r="G48" t="inlineStr">
        <is>
          <t>Boise State|Oregon</t>
        </is>
      </c>
    </row>
    <row r="49">
      <c r="A49" t="inlineStr">
        <is>
          <t>Sat Sep 05  3:30 PM ET</t>
        </is>
      </c>
      <c r="B49" t="n">
        <v>1</v>
      </c>
      <c r="C49" t="inlineStr">
        <is>
          <t>Towson</t>
        </is>
      </c>
      <c r="D49" t="inlineStr">
        <is>
          <t>Navy</t>
        </is>
      </c>
      <c r="E49" t="inlineStr">
        <is>
          <t>Navy-Marine Corps Memorial Stadium</t>
        </is>
      </c>
      <c r="F49" t="inlineStr">
        <is>
          <t>15-42</t>
        </is>
      </c>
      <c r="G49" t="inlineStr">
        <is>
          <t>Navy|Towson</t>
        </is>
      </c>
    </row>
    <row r="50">
      <c r="A50" t="inlineStr">
        <is>
          <t>Sat Sep 05  3:30 PM ET</t>
        </is>
      </c>
      <c r="B50" t="n">
        <v>1</v>
      </c>
      <c r="C50" t="inlineStr">
        <is>
          <t>Marshall</t>
        </is>
      </c>
      <c r="D50" t="inlineStr">
        <is>
          <t>Penn State</t>
        </is>
      </c>
      <c r="E50" t="inlineStr">
        <is>
          <t>Beaver Stadium</t>
        </is>
      </c>
      <c r="F50" t="inlineStr">
        <is>
          <t>0-45</t>
        </is>
      </c>
      <c r="G50" t="inlineStr">
        <is>
          <t>Marshall|Penn State</t>
        </is>
      </c>
    </row>
    <row r="51">
      <c r="A51" t="inlineStr">
        <is>
          <t>Sat Sep 05  3:30 PM ET</t>
        </is>
      </c>
      <c r="B51" t="n">
        <v>1</v>
      </c>
      <c r="C51" t="inlineStr">
        <is>
          <t>Furman</t>
        </is>
      </c>
      <c r="D51" t="inlineStr">
        <is>
          <t>Tennessee</t>
        </is>
      </c>
      <c r="E51" t="inlineStr">
        <is>
          <t>Neyland Stadium</t>
        </is>
      </c>
      <c r="F51" t="inlineStr">
        <is>
          <t>9-56</t>
        </is>
      </c>
      <c r="G51" t="inlineStr">
        <is>
          <t>Furman|Tennessee</t>
        </is>
      </c>
    </row>
    <row r="52">
      <c r="A52" t="inlineStr">
        <is>
          <t>Sat Sep 05  3:30 PM ET</t>
        </is>
      </c>
      <c r="B52" t="n">
        <v>1</v>
      </c>
      <c r="C52" t="inlineStr">
        <is>
          <t>Maine</t>
        </is>
      </c>
      <c r="D52" t="inlineStr">
        <is>
          <t>Appalachian State</t>
        </is>
      </c>
      <c r="E52" t="inlineStr">
        <is>
          <t>Kidd Brewer Stadium</t>
        </is>
      </c>
      <c r="F52" t="inlineStr">
        <is>
          <t>3-55</t>
        </is>
      </c>
      <c r="G52" t="inlineStr">
        <is>
          <t>Appalachian State|Maine</t>
        </is>
      </c>
    </row>
    <row r="53">
      <c r="A53" t="inlineStr">
        <is>
          <t>Sat Sep 05  3:30 PM ET</t>
        </is>
      </c>
      <c r="B53" t="n">
        <v>1</v>
      </c>
      <c r="C53" t="inlineStr">
        <is>
          <t>The Citadel</t>
        </is>
      </c>
      <c r="D53" t="inlineStr">
        <is>
          <t>Charlotte</t>
        </is>
      </c>
      <c r="E53" t="inlineStr">
        <is>
          <t>Jerry Richardson Stadium</t>
        </is>
      </c>
      <c r="F53" t="inlineStr">
        <is>
          <t>43-41</t>
        </is>
      </c>
      <c r="G53" t="inlineStr">
        <is>
          <t>Charlotte|The Citadel</t>
        </is>
      </c>
    </row>
    <row r="54">
      <c r="A54" t="inlineStr">
        <is>
          <t>Sat Sep 05  3:30 PM ET</t>
        </is>
      </c>
      <c r="B54" t="n">
        <v>1</v>
      </c>
      <c r="C54" t="inlineStr">
        <is>
          <t>UT Rio Grande Valley</t>
        </is>
      </c>
      <c r="D54" t="inlineStr">
        <is>
          <t>UTSA</t>
        </is>
      </c>
      <c r="E54" t="inlineStr">
        <is>
          <t>Alamodome</t>
        </is>
      </c>
      <c r="F54" t="inlineStr">
        <is>
          <t>16-45</t>
        </is>
      </c>
      <c r="G54" t="inlineStr">
        <is>
          <t>UT Rio Grande Valley|UTSA</t>
        </is>
      </c>
    </row>
    <row r="55">
      <c r="A55" t="inlineStr">
        <is>
          <t>Sat Sep 05  3:30 PM ET</t>
        </is>
      </c>
      <c r="B55" t="n">
        <v>1</v>
      </c>
      <c r="C55" t="inlineStr">
        <is>
          <t>Baylor</t>
        </is>
      </c>
      <c r="D55" t="inlineStr">
        <is>
          <t>Auburn</t>
        </is>
      </c>
      <c r="E55" t="inlineStr">
        <is>
          <t>Neutral site</t>
        </is>
      </c>
      <c r="F55" t="inlineStr">
        <is>
          <t>16-17</t>
        </is>
      </c>
      <c r="G55" t="inlineStr">
        <is>
          <t>Auburn|Baylor</t>
        </is>
      </c>
    </row>
    <row r="56">
      <c r="A56" t="inlineStr">
        <is>
          <t>Sat Sep 05  3:30 PM ET</t>
        </is>
      </c>
      <c r="B56" t="n">
        <v>1</v>
      </c>
      <c r="C56" t="inlineStr">
        <is>
          <t>Boston College</t>
        </is>
      </c>
      <c r="D56" t="inlineStr">
        <is>
          <t>Cincinnati</t>
        </is>
      </c>
      <c r="E56" t="inlineStr">
        <is>
          <t>Nippert Stadium</t>
        </is>
      </c>
      <c r="F56" t="inlineStr">
        <is>
          <t>15-34</t>
        </is>
      </c>
      <c r="G56" t="inlineStr">
        <is>
          <t>Boston College|Cincinnati</t>
        </is>
      </c>
    </row>
    <row r="57">
      <c r="A57" t="inlineStr">
        <is>
          <t>Sat Sep 05  3:30 PM ET</t>
        </is>
      </c>
      <c r="B57" t="n">
        <v>1</v>
      </c>
      <c r="C57" t="inlineStr">
        <is>
          <t>Fordham</t>
        </is>
      </c>
      <c r="D57" t="inlineStr">
        <is>
          <t>North Dakota State</t>
        </is>
      </c>
      <c r="E57" t="inlineStr">
        <is>
          <t>Fargodome</t>
        </is>
      </c>
      <c r="F57" t="inlineStr">
        <is>
          <t>0-38</t>
        </is>
      </c>
      <c r="G57" t="inlineStr">
        <is>
          <t>Fordham|North Dakota State</t>
        </is>
      </c>
    </row>
    <row r="58">
      <c r="A58" t="inlineStr">
        <is>
          <t>Sat Sep 05  3:30 PM ET</t>
        </is>
      </c>
      <c r="B58" t="n">
        <v>1</v>
      </c>
      <c r="C58" t="inlineStr">
        <is>
          <t>Tulane</t>
        </is>
      </c>
      <c r="D58" t="inlineStr">
        <is>
          <t>Duke</t>
        </is>
      </c>
      <c r="E58" t="inlineStr">
        <is>
          <t>Wallace Wade Stadium</t>
        </is>
      </c>
      <c r="F58" t="inlineStr">
        <is>
          <t>3-17</t>
        </is>
      </c>
      <c r="G58" t="inlineStr">
        <is>
          <t>Duke|Tulane</t>
        </is>
      </c>
    </row>
    <row r="59">
      <c r="A59" t="inlineStr">
        <is>
          <t>Sat Sep 05  3:45 PM ET</t>
        </is>
      </c>
      <c r="B59" t="n">
        <v>1</v>
      </c>
      <c r="C59" t="inlineStr">
        <is>
          <t>Oklahoma State</t>
        </is>
      </c>
      <c r="D59" t="inlineStr">
        <is>
          <t>Tulsa</t>
        </is>
      </c>
      <c r="E59" t="inlineStr">
        <is>
          <t>Chapman Stadium</t>
        </is>
      </c>
      <c r="F59" t="inlineStr">
        <is>
          <t>10-24</t>
        </is>
      </c>
      <c r="G59" t="inlineStr">
        <is>
          <t>Oklahoma State|Tulsa</t>
        </is>
      </c>
    </row>
    <row r="60">
      <c r="A60" t="inlineStr">
        <is>
          <t>Sat Sep 05  4:15 PM ET</t>
        </is>
      </c>
      <c r="B60" t="n">
        <v>1</v>
      </c>
      <c r="C60" t="inlineStr">
        <is>
          <t>North Alabama</t>
        </is>
      </c>
      <c r="D60" t="inlineStr">
        <is>
          <t>Arkansas</t>
        </is>
      </c>
      <c r="E60" t="inlineStr">
        <is>
          <t>Razorback Stadium</t>
        </is>
      </c>
      <c r="F60" t="inlineStr">
        <is>
          <t>14-31</t>
        </is>
      </c>
      <c r="G60" t="inlineStr">
        <is>
          <t>Arkansas|North Alabama</t>
        </is>
      </c>
    </row>
    <row r="61">
      <c r="A61" t="inlineStr">
        <is>
          <t>Sat Sep 05  4:15 PM ET</t>
        </is>
      </c>
      <c r="B61" t="n">
        <v>1</v>
      </c>
      <c r="C61" t="inlineStr">
        <is>
          <t>Northern Illinois</t>
        </is>
      </c>
      <c r="D61" t="inlineStr">
        <is>
          <t>Iowa</t>
        </is>
      </c>
      <c r="E61" t="inlineStr">
        <is>
          <t>Kinnick Stadium</t>
        </is>
      </c>
      <c r="F61" t="inlineStr">
        <is>
          <t>0-40</t>
        </is>
      </c>
      <c r="G61" t="inlineStr">
        <is>
          <t>Iowa|Northern Illinois</t>
        </is>
      </c>
    </row>
    <row r="62">
      <c r="A62" t="inlineStr">
        <is>
          <t>Sat Sep 05  5:00 PM ET</t>
        </is>
      </c>
      <c r="B62" t="n">
        <v>1</v>
      </c>
      <c r="C62" t="inlineStr">
        <is>
          <t>Alcorn State</t>
        </is>
      </c>
      <c r="D62" t="inlineStr">
        <is>
          <t>Southern Miss</t>
        </is>
      </c>
      <c r="E62" t="inlineStr">
        <is>
          <t>M. M. Roberts Stadium</t>
        </is>
      </c>
      <c r="F62" t="inlineStr">
        <is>
          <t>3-49</t>
        </is>
      </c>
      <c r="G62" t="inlineStr">
        <is>
          <t>Alcorn State|Southern Miss</t>
        </is>
      </c>
    </row>
    <row r="63">
      <c r="A63" t="inlineStr">
        <is>
          <t>Sat Sep 05  6:00 PM ET</t>
        </is>
      </c>
      <c r="B63" t="n">
        <v>1</v>
      </c>
      <c r="C63" t="inlineStr">
        <is>
          <t>Wyoming</t>
        </is>
      </c>
      <c r="D63" t="inlineStr">
        <is>
          <t>Colorado State</t>
        </is>
      </c>
      <c r="E63" t="inlineStr">
        <is>
          <t>Canvas Stadium</t>
        </is>
      </c>
      <c r="F63" t="inlineStr">
        <is>
          <t>13-35</t>
        </is>
      </c>
      <c r="G63" t="inlineStr">
        <is>
          <t>Colorado State|Wyoming</t>
        </is>
      </c>
    </row>
    <row r="64">
      <c r="A64" t="inlineStr">
        <is>
          <t>Sat Sep 05  6:00 PM ET</t>
        </is>
      </c>
      <c r="B64" t="n">
        <v>1</v>
      </c>
      <c r="C64" t="inlineStr">
        <is>
          <t>Norfolk State</t>
        </is>
      </c>
      <c r="D64" t="inlineStr">
        <is>
          <t>Old Dominion</t>
        </is>
      </c>
      <c r="E64" t="inlineStr">
        <is>
          <t>S.B. Ballard Stadium</t>
        </is>
      </c>
      <c r="F64" t="inlineStr">
        <is>
          <t>10-31</t>
        </is>
      </c>
      <c r="G64" t="inlineStr">
        <is>
          <t>Norfolk State|Old Dominion</t>
        </is>
      </c>
    </row>
    <row r="65">
      <c r="A65" t="inlineStr">
        <is>
          <t>Sat Sep 05  7:00 PM ET</t>
        </is>
      </c>
      <c r="B65" t="n">
        <v>1</v>
      </c>
      <c r="C65" t="inlineStr">
        <is>
          <t>Arkansas State</t>
        </is>
      </c>
      <c r="D65" t="inlineStr">
        <is>
          <t>Memphis</t>
        </is>
      </c>
      <c r="E65" t="inlineStr">
        <is>
          <t>Simmons Bank Liberty Stadium</t>
        </is>
      </c>
      <c r="F65" t="inlineStr">
        <is>
          <t>24-42</t>
        </is>
      </c>
      <c r="G65" t="inlineStr">
        <is>
          <t>Arkansas State|Memphis</t>
        </is>
      </c>
    </row>
    <row r="66">
      <c r="A66" t="inlineStr">
        <is>
          <t>Sat Sep 05  7:00 PM ET</t>
        </is>
      </c>
      <c r="B66" t="n">
        <v>1</v>
      </c>
      <c r="C66" t="inlineStr">
        <is>
          <t>Sam Houston</t>
        </is>
      </c>
      <c r="D66" t="inlineStr">
        <is>
          <t>Troy</t>
        </is>
      </c>
      <c r="E66" t="inlineStr">
        <is>
          <t>Veterans Memorial Stadium (AL)</t>
        </is>
      </c>
      <c r="F66" t="inlineStr">
        <is>
          <t>21-24</t>
        </is>
      </c>
      <c r="G66" t="inlineStr">
        <is>
          <t>Sam Houston|Troy</t>
        </is>
      </c>
    </row>
    <row r="67">
      <c r="A67" t="inlineStr">
        <is>
          <t>Sat Sep 05  7:00 PM ET</t>
        </is>
      </c>
      <c r="B67" t="n">
        <v>1</v>
      </c>
      <c r="C67" t="inlineStr">
        <is>
          <t>Eastern Kentucky</t>
        </is>
      </c>
      <c r="D67" t="inlineStr">
        <is>
          <t>Jacksonville State</t>
        </is>
      </c>
      <c r="E67" t="inlineStr">
        <is>
          <t>AmFirst Stadium</t>
        </is>
      </c>
      <c r="F67" t="inlineStr">
        <is>
          <t>7-49</t>
        </is>
      </c>
      <c r="G67" t="inlineStr">
        <is>
          <t>Eastern Kentucky|Jacksonville State</t>
        </is>
      </c>
    </row>
    <row r="68">
      <c r="A68" t="inlineStr">
        <is>
          <t>Sat Sep 05  7:00 PM ET</t>
        </is>
      </c>
      <c r="B68" t="n">
        <v>1</v>
      </c>
      <c r="C68" t="inlineStr">
        <is>
          <t>Murray State</t>
        </is>
      </c>
      <c r="D68" t="inlineStr">
        <is>
          <t>Middle Tennessee</t>
        </is>
      </c>
      <c r="E68" t="inlineStr">
        <is>
          <t>Johnny "Red" Floyd Stadium</t>
        </is>
      </c>
      <c r="F68" t="inlineStr">
        <is>
          <t>14-38</t>
        </is>
      </c>
      <c r="G68" t="inlineStr">
        <is>
          <t>Middle Tennessee|Murray State</t>
        </is>
      </c>
    </row>
    <row r="69">
      <c r="A69" t="inlineStr">
        <is>
          <t>Sat Sep 05  7:00 PM ET</t>
        </is>
      </c>
      <c r="B69" t="n">
        <v>1</v>
      </c>
      <c r="C69" t="inlineStr">
        <is>
          <t>Idaho State</t>
        </is>
      </c>
      <c r="D69" t="inlineStr">
        <is>
          <t>Utah State</t>
        </is>
      </c>
      <c r="E69" t="inlineStr">
        <is>
          <t>Maverik Stadium</t>
        </is>
      </c>
      <c r="F69" t="inlineStr">
        <is>
          <t>29-17</t>
        </is>
      </c>
      <c r="G69" t="inlineStr">
        <is>
          <t>Idaho State|Utah State</t>
        </is>
      </c>
    </row>
    <row r="70">
      <c r="A70" t="inlineStr">
        <is>
          <t>Sat Sep 05  7:00 PM ET</t>
        </is>
      </c>
      <c r="B70" t="n">
        <v>1</v>
      </c>
      <c r="C70" t="inlineStr">
        <is>
          <t>Florida International</t>
        </is>
      </c>
      <c r="D70" t="inlineStr">
        <is>
          <t>South Florida</t>
        </is>
      </c>
      <c r="E70" t="inlineStr">
        <is>
          <t>Raymond James Stadium</t>
        </is>
      </c>
      <c r="F70" t="inlineStr">
        <is>
          <t>9-19</t>
        </is>
      </c>
      <c r="G70" t="inlineStr">
        <is>
          <t>Florida International|South Florida</t>
        </is>
      </c>
    </row>
    <row r="71">
      <c r="A71" t="inlineStr">
        <is>
          <t>Sat Sep 05  7:00 PM ET</t>
        </is>
      </c>
      <c r="B71" t="n">
        <v>1</v>
      </c>
      <c r="C71" t="inlineStr">
        <is>
          <t>Missouri State</t>
        </is>
      </c>
      <c r="D71" t="inlineStr">
        <is>
          <t>Texas A&amp;M</t>
        </is>
      </c>
      <c r="E71" t="inlineStr">
        <is>
          <t>Kyle Field</t>
        </is>
      </c>
      <c r="F71" t="inlineStr">
        <is>
          <t>0-50</t>
        </is>
      </c>
      <c r="G71" t="inlineStr">
        <is>
          <t>Missouri State|Texas A&amp;M</t>
        </is>
      </c>
    </row>
    <row r="72">
      <c r="A72" t="inlineStr">
        <is>
          <t>Sat Sep 05  7:00 PM ET</t>
        </is>
      </c>
      <c r="B72" t="n">
        <v>1</v>
      </c>
      <c r="C72" t="inlineStr">
        <is>
          <t>Abilene Christian</t>
        </is>
      </c>
      <c r="D72" t="inlineStr">
        <is>
          <t>Texas Tech</t>
        </is>
      </c>
      <c r="E72" t="inlineStr">
        <is>
          <t>Jones AT&amp;T Stadium</t>
        </is>
      </c>
      <c r="F72" t="inlineStr">
        <is>
          <t>10-33</t>
        </is>
      </c>
      <c r="G72" t="inlineStr">
        <is>
          <t>Abilene Christian|Texas Tech</t>
        </is>
      </c>
    </row>
    <row r="73">
      <c r="A73" t="inlineStr">
        <is>
          <t>Sat Sep 05  7:00 PM ET</t>
        </is>
      </c>
      <c r="B73" t="n">
        <v>1</v>
      </c>
      <c r="C73" t="inlineStr">
        <is>
          <t>Charleston Southern</t>
        </is>
      </c>
      <c r="D73" t="inlineStr">
        <is>
          <t>Georgia Southern</t>
        </is>
      </c>
      <c r="E73" t="inlineStr">
        <is>
          <t>Allen E. Paulson Stadium</t>
        </is>
      </c>
      <c r="F73" t="inlineStr">
        <is>
          <t>0-31</t>
        </is>
      </c>
      <c r="G73" t="inlineStr">
        <is>
          <t>Charleston Southern|Georgia Southern</t>
        </is>
      </c>
    </row>
    <row r="74">
      <c r="A74" t="inlineStr">
        <is>
          <t>Sat Sep 05  7:00 PM ET</t>
        </is>
      </c>
      <c r="B74" t="n">
        <v>1</v>
      </c>
      <c r="C74" t="inlineStr">
        <is>
          <t>Houston Christian</t>
        </is>
      </c>
      <c r="D74" t="inlineStr">
        <is>
          <t>Rice</t>
        </is>
      </c>
      <c r="E74" t="inlineStr">
        <is>
          <t>Rice Stadium</t>
        </is>
      </c>
      <c r="F74" t="inlineStr">
        <is>
          <t>3-31</t>
        </is>
      </c>
      <c r="G74" t="inlineStr">
        <is>
          <t>Houston Christian|Rice</t>
        </is>
      </c>
    </row>
    <row r="75">
      <c r="A75" t="inlineStr">
        <is>
          <t>Sat Sep 05  7:00 PM ET</t>
        </is>
      </c>
      <c r="B75" t="n">
        <v>1</v>
      </c>
      <c r="C75" t="inlineStr">
        <is>
          <t>Nicholls</t>
        </is>
      </c>
      <c r="D75" t="inlineStr">
        <is>
          <t>Kansas State</t>
        </is>
      </c>
      <c r="E75" t="inlineStr">
        <is>
          <t>Bill Snyder Family Stadium</t>
        </is>
      </c>
      <c r="F75" t="inlineStr">
        <is>
          <t>3-71</t>
        </is>
      </c>
      <c r="G75" t="inlineStr">
        <is>
          <t>Kansas State|Nicholls</t>
        </is>
      </c>
    </row>
    <row r="76">
      <c r="A76" t="inlineStr">
        <is>
          <t>Sat Sep 05  7:00 PM ET</t>
        </is>
      </c>
      <c r="B76" t="n">
        <v>1</v>
      </c>
      <c r="C76" t="inlineStr">
        <is>
          <t>Austin Peay</t>
        </is>
      </c>
      <c r="D76" t="inlineStr">
        <is>
          <t>Vanderbilt</t>
        </is>
      </c>
      <c r="E76" t="inlineStr">
        <is>
          <t>FirstBank Stadium</t>
        </is>
      </c>
      <c r="F76" t="inlineStr">
        <is>
          <t>9-28</t>
        </is>
      </c>
      <c r="G76" t="inlineStr">
        <is>
          <t>Austin Peay|Vanderbilt</t>
        </is>
      </c>
    </row>
    <row r="77">
      <c r="A77" t="inlineStr">
        <is>
          <t>Sat Sep 05  7:00 PM ET</t>
        </is>
      </c>
      <c r="B77" t="n">
        <v>1</v>
      </c>
      <c r="C77" t="inlineStr">
        <is>
          <t>SE Louisiana</t>
        </is>
      </c>
      <c r="D77" t="inlineStr">
        <is>
          <t>South Alabama</t>
        </is>
      </c>
      <c r="E77" t="inlineStr">
        <is>
          <t>Hancock Whitney Stadium</t>
        </is>
      </c>
      <c r="F77" t="inlineStr">
        <is>
          <t>14-39</t>
        </is>
      </c>
      <c r="G77" t="inlineStr">
        <is>
          <t>SE Louisiana|South Alabama</t>
        </is>
      </c>
    </row>
    <row r="78">
      <c r="A78" t="inlineStr">
        <is>
          <t>Sat Sep 05  7:30 PM ET</t>
        </is>
      </c>
      <c r="B78" t="n">
        <v>1</v>
      </c>
      <c r="C78" t="inlineStr">
        <is>
          <t>VMI</t>
        </is>
      </c>
      <c r="D78" t="inlineStr">
        <is>
          <t>Virginia Tech</t>
        </is>
      </c>
      <c r="E78" t="inlineStr">
        <is>
          <t>Lane Stadium</t>
        </is>
      </c>
      <c r="F78" t="inlineStr">
        <is>
          <t>3-73</t>
        </is>
      </c>
      <c r="G78" t="inlineStr">
        <is>
          <t>VMI|Virginia Tech</t>
        </is>
      </c>
    </row>
    <row r="79">
      <c r="A79" t="inlineStr">
        <is>
          <t>Sat Sep 05  7:30 PM ET</t>
        </is>
      </c>
      <c r="B79" t="n">
        <v>1</v>
      </c>
      <c r="C79" t="inlineStr">
        <is>
          <t>Northwestern State</t>
        </is>
      </c>
      <c r="D79" t="inlineStr">
        <is>
          <t>Louisiana Tech</t>
        </is>
      </c>
      <c r="E79" t="inlineStr">
        <is>
          <t>Joe Aillet Stadium</t>
        </is>
      </c>
      <c r="F79" t="inlineStr">
        <is>
          <t>6-80</t>
        </is>
      </c>
      <c r="G79" t="inlineStr">
        <is>
          <t>Louisiana Tech|Northwestern State</t>
        </is>
      </c>
    </row>
    <row r="80">
      <c r="A80" t="inlineStr">
        <is>
          <t>Sat Sep 05  7:30 PM ET</t>
        </is>
      </c>
      <c r="B80" t="n">
        <v>1</v>
      </c>
      <c r="C80" t="inlineStr">
        <is>
          <t>Louisiana-Monroe</t>
        </is>
      </c>
      <c r="D80" t="inlineStr">
        <is>
          <t>Mississippi State</t>
        </is>
      </c>
      <c r="E80" t="inlineStr">
        <is>
          <t>Davis Wade Stadium</t>
        </is>
      </c>
      <c r="F80" t="inlineStr">
        <is>
          <t>13-62</t>
        </is>
      </c>
      <c r="G80" t="inlineStr">
        <is>
          <t>Louisiana-Monroe|Mississippi State</t>
        </is>
      </c>
    </row>
    <row r="81">
      <c r="A81" t="inlineStr">
        <is>
          <t>Sat Sep 05  7:30 PM ET</t>
        </is>
      </c>
      <c r="B81" t="n">
        <v>1</v>
      </c>
      <c r="C81" t="inlineStr">
        <is>
          <t>Clemson</t>
        </is>
      </c>
      <c r="D81" t="inlineStr">
        <is>
          <t>LSU</t>
        </is>
      </c>
      <c r="E81" t="inlineStr">
        <is>
          <t>Tiger Stadium (LA)</t>
        </is>
      </c>
      <c r="F81" t="inlineStr">
        <is>
          <t>10-51</t>
        </is>
      </c>
      <c r="G81" t="inlineStr">
        <is>
          <t>Clemson|LSU</t>
        </is>
      </c>
    </row>
    <row r="82">
      <c r="A82" t="inlineStr">
        <is>
          <t>Sat Sep 05  7:30 PM ET</t>
        </is>
      </c>
      <c r="B82" t="n">
        <v>1</v>
      </c>
      <c r="C82" t="inlineStr">
        <is>
          <t>Western Michigan</t>
        </is>
      </c>
      <c r="D82" t="inlineStr">
        <is>
          <t>Michigan</t>
        </is>
      </c>
      <c r="E82" t="inlineStr">
        <is>
          <t>Michigan Stadium</t>
        </is>
      </c>
      <c r="F82" t="inlineStr">
        <is>
          <t>12-13</t>
        </is>
      </c>
      <c r="G82" t="inlineStr">
        <is>
          <t>Michigan|Western Michigan</t>
        </is>
      </c>
    </row>
    <row r="83">
      <c r="A83" t="inlineStr">
        <is>
          <t>Sat Sep 05  7:45 PM ET</t>
        </is>
      </c>
      <c r="B83" t="n">
        <v>1</v>
      </c>
      <c r="C83" t="inlineStr">
        <is>
          <t>Florida Atlantic</t>
        </is>
      </c>
      <c r="D83" t="inlineStr">
        <is>
          <t>Florida</t>
        </is>
      </c>
      <c r="E83" t="inlineStr">
        <is>
          <t>Ben Hill Griffin Stadium</t>
        </is>
      </c>
      <c r="F83" t="inlineStr">
        <is>
          <t>21-66</t>
        </is>
      </c>
      <c r="G83" t="inlineStr">
        <is>
          <t>Florida|Florida Atlantic</t>
        </is>
      </c>
    </row>
    <row r="84">
      <c r="A84" t="inlineStr">
        <is>
          <t>Sat Sep 05  8:00 PM ET</t>
        </is>
      </c>
      <c r="B84" t="n">
        <v>1</v>
      </c>
      <c r="C84" t="inlineStr">
        <is>
          <t>Hampton</t>
        </is>
      </c>
      <c r="D84" t="inlineStr">
        <is>
          <t>Maryland</t>
        </is>
      </c>
      <c r="E84" t="inlineStr">
        <is>
          <t>SECU Stadium</t>
        </is>
      </c>
      <c r="F84" t="inlineStr">
        <is>
          <t>0-62</t>
        </is>
      </c>
      <c r="G84" t="inlineStr">
        <is>
          <t>Hampton|Maryland</t>
        </is>
      </c>
    </row>
    <row r="85">
      <c r="A85" t="inlineStr">
        <is>
          <t>Sat Sep 05  8:00 PM ET</t>
        </is>
      </c>
      <c r="B85" t="n">
        <v>1</v>
      </c>
      <c r="C85" t="inlineStr">
        <is>
          <t>Lamar</t>
        </is>
      </c>
      <c r="D85" t="inlineStr">
        <is>
          <t>Louisiana</t>
        </is>
      </c>
      <c r="E85" t="inlineStr">
        <is>
          <t>Cajun Field</t>
        </is>
      </c>
      <c r="F85" t="inlineStr">
        <is>
          <t>7-38</t>
        </is>
      </c>
      <c r="G85" t="inlineStr">
        <is>
          <t>Lamar|Louisiana</t>
        </is>
      </c>
    </row>
    <row r="86">
      <c r="A86" t="inlineStr">
        <is>
          <t>Sat Sep 05  8:00 PM ET</t>
        </is>
      </c>
      <c r="B86" t="n">
        <v>1</v>
      </c>
      <c r="C86" t="inlineStr">
        <is>
          <t>South Dakota State</t>
        </is>
      </c>
      <c r="D86" t="inlineStr">
        <is>
          <t>Northwestern</t>
        </is>
      </c>
      <c r="E86" t="inlineStr">
        <is>
          <t>Lanny and Sharon Martin Stadium</t>
        </is>
      </c>
      <c r="F86" t="inlineStr">
        <is>
          <t>18-34</t>
        </is>
      </c>
      <c r="G86" t="inlineStr">
        <is>
          <t>Northwestern|South Dakota State</t>
        </is>
      </c>
    </row>
    <row r="87">
      <c r="A87" t="inlineStr">
        <is>
          <t>Sat Sep 05  8:00 PM ET</t>
        </is>
      </c>
      <c r="B87" t="n">
        <v>1</v>
      </c>
      <c r="C87" t="inlineStr">
        <is>
          <t>Utah Tech</t>
        </is>
      </c>
      <c r="D87" t="inlineStr">
        <is>
          <t>BYU</t>
        </is>
      </c>
      <c r="E87" t="inlineStr">
        <is>
          <t>LaVell Edwards Stadium</t>
        </is>
      </c>
      <c r="F87" t="inlineStr">
        <is>
          <t>7-63</t>
        </is>
      </c>
      <c r="G87" t="inlineStr">
        <is>
          <t>BYU|Utah Tech</t>
        </is>
      </c>
    </row>
    <row r="88">
      <c r="A88" t="inlineStr">
        <is>
          <t>Sat Sep 05  9:00 PM ET</t>
        </is>
      </c>
      <c r="B88" t="n">
        <v>1</v>
      </c>
      <c r="C88" t="inlineStr">
        <is>
          <t>Mercyhurst</t>
        </is>
      </c>
      <c r="D88" t="inlineStr">
        <is>
          <t>New Mexico State</t>
        </is>
      </c>
      <c r="E88" t="inlineStr">
        <is>
          <t>Aggie Memorial Stadium</t>
        </is>
      </c>
      <c r="F88" t="inlineStr">
        <is>
          <t>14-51</t>
        </is>
      </c>
      <c r="G88" t="inlineStr">
        <is>
          <t>Mercyhurst|New Mexico State</t>
        </is>
      </c>
    </row>
    <row r="89">
      <c r="A89" t="inlineStr">
        <is>
          <t>Sat Sep 05  9:30 PM ET</t>
        </is>
      </c>
      <c r="B89" t="n">
        <v>1</v>
      </c>
      <c r="C89" t="inlineStr">
        <is>
          <t>Portland State</t>
        </is>
      </c>
      <c r="D89" t="inlineStr">
        <is>
          <t>San Diego State</t>
        </is>
      </c>
      <c r="E89" t="inlineStr">
        <is>
          <t>Snapdragon Stadium</t>
        </is>
      </c>
      <c r="F89" t="inlineStr">
        <is>
          <t>20-53</t>
        </is>
      </c>
      <c r="G89" t="inlineStr">
        <is>
          <t>Portland State|San Diego State</t>
        </is>
      </c>
    </row>
    <row r="90">
      <c r="A90" t="inlineStr">
        <is>
          <t>Sat Sep 05  9:30 PM ET</t>
        </is>
      </c>
      <c r="B90" t="n">
        <v>1</v>
      </c>
      <c r="C90" t="inlineStr">
        <is>
          <t>Northern Arizona</t>
        </is>
      </c>
      <c r="D90" t="inlineStr">
        <is>
          <t>Arizona</t>
        </is>
      </c>
      <c r="E90" t="inlineStr">
        <is>
          <t>Arizona Stadium</t>
        </is>
      </c>
      <c r="F90" t="inlineStr">
        <is>
          <t>7-35</t>
        </is>
      </c>
      <c r="G90" t="inlineStr">
        <is>
          <t>Arizona|Northern Arizona</t>
        </is>
      </c>
    </row>
    <row r="91">
      <c r="A91" t="inlineStr">
        <is>
          <t>Sat Sep 05  10:00 PM ET</t>
        </is>
      </c>
      <c r="B91" t="n">
        <v>1</v>
      </c>
      <c r="C91" t="inlineStr">
        <is>
          <t>Central Michigan</t>
        </is>
      </c>
      <c r="D91" t="inlineStr">
        <is>
          <t>New Mexico</t>
        </is>
      </c>
      <c r="E91" t="inlineStr">
        <is>
          <t>University Stadium (NM)</t>
        </is>
      </c>
      <c r="F91" t="inlineStr">
        <is>
          <t>7-38</t>
        </is>
      </c>
      <c r="G91" t="inlineStr">
        <is>
          <t>Central Michigan|New Mexico</t>
        </is>
      </c>
    </row>
    <row r="92">
      <c r="A92" t="inlineStr">
        <is>
          <t>Sat Sep 05  10:00 PM ET</t>
        </is>
      </c>
      <c r="B92" t="n">
        <v>1</v>
      </c>
      <c r="C92" t="inlineStr">
        <is>
          <t>UNLV</t>
        </is>
      </c>
      <c r="D92" t="inlineStr">
        <is>
          <t>Hawaii</t>
        </is>
      </c>
      <c r="E92" t="inlineStr">
        <is>
          <t>Clarence T.C. Ching Athletics Complex</t>
        </is>
      </c>
      <c r="F92" t="inlineStr">
        <is>
          <t>21-6</t>
        </is>
      </c>
      <c r="G92" t="inlineStr">
        <is>
          <t>Hawaii|UNLV</t>
        </is>
      </c>
    </row>
    <row r="93">
      <c r="A93" t="inlineStr">
        <is>
          <t>Sat Sep 05  10:00 PM ET</t>
        </is>
      </c>
      <c r="B93" t="n">
        <v>1</v>
      </c>
      <c r="C93" t="inlineStr">
        <is>
          <t>Morgan State</t>
        </is>
      </c>
      <c r="D93" t="inlineStr">
        <is>
          <t>Arizona State</t>
        </is>
      </c>
      <c r="E93" t="inlineStr">
        <is>
          <t>Mountain America Stadium</t>
        </is>
      </c>
      <c r="F93" t="inlineStr">
        <is>
          <t>7-70</t>
        </is>
      </c>
      <c r="G93" t="inlineStr">
        <is>
          <t>Arizona State|Morgan State</t>
        </is>
      </c>
    </row>
    <row r="94">
      <c r="A94" t="inlineStr">
        <is>
          <t>Sat Sep 05  10:00 PM ET</t>
        </is>
      </c>
      <c r="B94" t="n">
        <v>1</v>
      </c>
      <c r="C94" t="inlineStr">
        <is>
          <t>Mississippi Valley State</t>
        </is>
      </c>
      <c r="D94" t="inlineStr">
        <is>
          <t>Sacramento State</t>
        </is>
      </c>
      <c r="E94" t="inlineStr">
        <is>
          <t>Hornet Stadium</t>
        </is>
      </c>
      <c r="F94" t="inlineStr">
        <is>
          <t>0-52</t>
        </is>
      </c>
      <c r="G94" t="inlineStr">
        <is>
          <t>Mississippi Valley State|Sacramento State</t>
        </is>
      </c>
    </row>
    <row r="95">
      <c r="A95" t="inlineStr">
        <is>
          <t>Sat Sep 05  10:30 PM ET</t>
        </is>
      </c>
      <c r="B95" t="n">
        <v>1</v>
      </c>
      <c r="C95" t="inlineStr">
        <is>
          <t>Western Kentucky</t>
        </is>
      </c>
      <c r="D95" t="inlineStr">
        <is>
          <t>Nevada</t>
        </is>
      </c>
      <c r="E95" t="inlineStr">
        <is>
          <t>Mackay Stadium</t>
        </is>
      </c>
      <c r="F95" t="inlineStr">
        <is>
          <t>14-49</t>
        </is>
      </c>
      <c r="G95" t="inlineStr">
        <is>
          <t>Nevada|Western Kentucky</t>
        </is>
      </c>
    </row>
    <row r="96">
      <c r="A96" t="inlineStr">
        <is>
          <t>Sat Sep 05  10:30 PM ET</t>
        </is>
      </c>
      <c r="B96" t="n">
        <v>1</v>
      </c>
      <c r="C96" t="inlineStr">
        <is>
          <t>UCLA</t>
        </is>
      </c>
      <c r="D96" t="inlineStr">
        <is>
          <t>California</t>
        </is>
      </c>
      <c r="E96" t="inlineStr">
        <is>
          <t>California Memorial Stadium</t>
        </is>
      </c>
      <c r="F96" t="inlineStr">
        <is>
          <t>45-24</t>
        </is>
      </c>
      <c r="G96" t="inlineStr">
        <is>
          <t>California|UCLA</t>
        </is>
      </c>
    </row>
    <row r="97">
      <c r="A97" t="inlineStr">
        <is>
          <t>Sun Sep 06  4:00 PM ET</t>
        </is>
      </c>
      <c r="B97" t="n">
        <v>1</v>
      </c>
      <c r="C97" t="inlineStr">
        <is>
          <t>Washington State</t>
        </is>
      </c>
      <c r="D97" t="inlineStr">
        <is>
          <t>Washington</t>
        </is>
      </c>
      <c r="E97" t="inlineStr">
        <is>
          <t>Husky Stadium</t>
        </is>
      </c>
      <c r="F97" t="inlineStr">
        <is>
          <t>10-24</t>
        </is>
      </c>
      <c r="G97" t="inlineStr">
        <is>
          <t>Washington|Washington State</t>
        </is>
      </c>
    </row>
    <row r="98">
      <c r="A98" t="inlineStr">
        <is>
          <t>Sun Sep 06  7:30 PM ET</t>
        </is>
      </c>
      <c r="B98" t="n">
        <v>1</v>
      </c>
      <c r="C98" t="inlineStr">
        <is>
          <t>Wisconsin</t>
        </is>
      </c>
      <c r="D98" t="inlineStr">
        <is>
          <t>Notre Dame</t>
        </is>
      </c>
      <c r="E98" t="inlineStr">
        <is>
          <t>Neutral site</t>
        </is>
      </c>
      <c r="F98" t="inlineStr">
        <is>
          <t>13-41</t>
        </is>
      </c>
      <c r="G98" t="inlineStr">
        <is>
          <t>Notre Dame|Wisconsin</t>
        </is>
      </c>
    </row>
    <row r="99">
      <c r="A99" t="inlineStr">
        <is>
          <t>Sun Sep 06  7:30 PM ET</t>
        </is>
      </c>
      <c r="B99" t="n">
        <v>1</v>
      </c>
      <c r="C99" t="inlineStr">
        <is>
          <t>Louisville</t>
        </is>
      </c>
      <c r="D99" t="inlineStr">
        <is>
          <t>Ole Miss</t>
        </is>
      </c>
      <c r="E99" t="inlineStr">
        <is>
          <t>Neutral site</t>
        </is>
      </c>
      <c r="F99" t="inlineStr">
        <is>
          <t>38-41</t>
        </is>
      </c>
      <c r="G99" t="inlineStr">
        <is>
          <t>Louisville|Ole Miss</t>
        </is>
      </c>
    </row>
    <row r="100">
      <c r="A100" t="inlineStr">
        <is>
          <t>Mon Sep 07  7:30 PM ET</t>
        </is>
      </c>
      <c r="B100" t="n">
        <v>1</v>
      </c>
      <c r="C100" t="inlineStr">
        <is>
          <t>SMU</t>
        </is>
      </c>
      <c r="D100" t="inlineStr">
        <is>
          <t>Florida State</t>
        </is>
      </c>
      <c r="E100" t="inlineStr">
        <is>
          <t>Doak Campbell Stadium</t>
        </is>
      </c>
      <c r="F100" t="inlineStr">
        <is>
          <t>27-24</t>
        </is>
      </c>
      <c r="G100" t="inlineStr">
        <is>
          <t>Florida State|SMU</t>
        </is>
      </c>
    </row>
    <row r="101">
      <c r="A101" t="inlineStr">
        <is>
          <t>Thu Sep 10  8:00 PM ET</t>
        </is>
      </c>
      <c r="B101" t="n">
        <v>2</v>
      </c>
      <c r="C101" t="inlineStr">
        <is>
          <t>Florida A&amp;M</t>
        </is>
      </c>
      <c r="D101" t="inlineStr">
        <is>
          <t>Miami</t>
        </is>
      </c>
      <c r="E101" t="inlineStr">
        <is>
          <t>Hard Rock Stadium</t>
        </is>
      </c>
      <c r="F101" t="inlineStr">
        <is>
          <t>7-77</t>
        </is>
      </c>
      <c r="G101" t="inlineStr">
        <is>
          <t>Florida A&amp;M|Miami</t>
        </is>
      </c>
    </row>
    <row r="102">
      <c r="A102" t="inlineStr">
        <is>
          <t>Fri Sep 11  7:00 PM ET</t>
        </is>
      </c>
      <c r="B102" t="n">
        <v>2</v>
      </c>
      <c r="C102" t="inlineStr">
        <is>
          <t>Norfolk State</t>
        </is>
      </c>
      <c r="D102" t="inlineStr">
        <is>
          <t>Virginia</t>
        </is>
      </c>
      <c r="E102" t="inlineStr">
        <is>
          <t>Scott Stadium</t>
        </is>
      </c>
      <c r="F102" t="inlineStr">
        <is>
          <t>3-59</t>
        </is>
      </c>
      <c r="G102" t="inlineStr">
        <is>
          <t>Norfolk State|Virginia</t>
        </is>
      </c>
    </row>
    <row r="103">
      <c r="A103" t="inlineStr">
        <is>
          <t>Fri Sep 11  7:00 PM ET</t>
        </is>
      </c>
      <c r="B103" t="n">
        <v>2</v>
      </c>
      <c r="C103" t="inlineStr">
        <is>
          <t>Richmond</t>
        </is>
      </c>
      <c r="D103" t="inlineStr">
        <is>
          <t>NC State</t>
        </is>
      </c>
      <c r="E103" t="inlineStr">
        <is>
          <t>Carter-Finley Stadium</t>
        </is>
      </c>
      <c r="F103" t="inlineStr">
        <is>
          <t>0-73</t>
        </is>
      </c>
      <c r="G103" t="inlineStr">
        <is>
          <t>NC State|Richmond</t>
        </is>
      </c>
    </row>
    <row r="104">
      <c r="A104" t="inlineStr">
        <is>
          <t>Fri Sep 11  7:00 PM ET</t>
        </is>
      </c>
      <c r="B104" t="n">
        <v>2</v>
      </c>
      <c r="C104" t="inlineStr">
        <is>
          <t>Villanova</t>
        </is>
      </c>
      <c r="D104" t="inlineStr">
        <is>
          <t>Louisville</t>
        </is>
      </c>
      <c r="E104" t="inlineStr">
        <is>
          <t>L&amp;N Federal Credit Union Stadium</t>
        </is>
      </c>
      <c r="F104" t="inlineStr">
        <is>
          <t>13-59</t>
        </is>
      </c>
      <c r="G104" t="inlineStr">
        <is>
          <t>Louisville|Villanova</t>
        </is>
      </c>
    </row>
    <row r="105">
      <c r="A105" t="inlineStr">
        <is>
          <t>Fri Sep 11  7:30 PM ET</t>
        </is>
      </c>
      <c r="B105" t="n">
        <v>2</v>
      </c>
      <c r="C105" t="inlineStr">
        <is>
          <t>Rutgers</t>
        </is>
      </c>
      <c r="D105" t="inlineStr">
        <is>
          <t>Boston College</t>
        </is>
      </c>
      <c r="E105" t="inlineStr">
        <is>
          <t>Alumni Stadium (Chestnut Hill, MA)</t>
        </is>
      </c>
      <c r="F105" t="inlineStr">
        <is>
          <t>21-28</t>
        </is>
      </c>
      <c r="G105" t="inlineStr">
        <is>
          <t>Boston College|Rutgers</t>
        </is>
      </c>
    </row>
    <row r="106">
      <c r="A106" t="inlineStr">
        <is>
          <t>Fri Sep 11  8:00 PM ET</t>
        </is>
      </c>
      <c r="B106" t="n">
        <v>2</v>
      </c>
      <c r="C106" t="inlineStr">
        <is>
          <t>Missouri</t>
        </is>
      </c>
      <c r="D106" t="inlineStr">
        <is>
          <t>Kansas</t>
        </is>
      </c>
      <c r="E106" t="inlineStr">
        <is>
          <t>Memorial Stadium</t>
        </is>
      </c>
      <c r="F106" t="inlineStr">
        <is>
          <t>38-21</t>
        </is>
      </c>
      <c r="G106" t="inlineStr">
        <is>
          <t>Kansas|Missouri</t>
        </is>
      </c>
    </row>
    <row r="107">
      <c r="A107" t="inlineStr">
        <is>
          <t>Sat Sep 12  12:00 PM ET</t>
        </is>
      </c>
      <c r="B107" t="n">
        <v>2</v>
      </c>
      <c r="C107" t="inlineStr">
        <is>
          <t>Old Dominion</t>
        </is>
      </c>
      <c r="D107" t="inlineStr">
        <is>
          <t>Virginia Tech</t>
        </is>
      </c>
      <c r="E107" t="inlineStr">
        <is>
          <t>Lane Stadium</t>
        </is>
      </c>
      <c r="F107" t="inlineStr">
        <is>
          <t>21-44</t>
        </is>
      </c>
      <c r="G107" t="inlineStr">
        <is>
          <t>Old Dominion|Virginia Tech</t>
        </is>
      </c>
    </row>
    <row r="108">
      <c r="A108" t="inlineStr">
        <is>
          <t>Sat Sep 12  12:00 PM ET</t>
        </is>
      </c>
      <c r="B108" t="n">
        <v>2</v>
      </c>
      <c r="C108" t="inlineStr">
        <is>
          <t>Gardner-Webb</t>
        </is>
      </c>
      <c r="D108" t="inlineStr">
        <is>
          <t>Liberty</t>
        </is>
      </c>
      <c r="E108" t="inlineStr">
        <is>
          <t>Williams Stadium (VA)</t>
        </is>
      </c>
      <c r="F108" t="inlineStr">
        <is>
          <t>23-24</t>
        </is>
      </c>
      <c r="G108" t="inlineStr">
        <is>
          <t>Gardner-Webb|Liberty</t>
        </is>
      </c>
    </row>
    <row r="109">
      <c r="A109" t="inlineStr">
        <is>
          <t>Sat Sep 12  12:00 PM ET</t>
        </is>
      </c>
      <c r="B109" t="n">
        <v>2</v>
      </c>
      <c r="C109" t="inlineStr">
        <is>
          <t>Oklahoma</t>
        </is>
      </c>
      <c r="D109" t="inlineStr">
        <is>
          <t>Michigan</t>
        </is>
      </c>
      <c r="E109" t="inlineStr">
        <is>
          <t>Michigan Stadium</t>
        </is>
      </c>
      <c r="F109" t="inlineStr">
        <is>
          <t>10-17</t>
        </is>
      </c>
      <c r="G109" t="inlineStr">
        <is>
          <t>Michigan|Oklahoma</t>
        </is>
      </c>
    </row>
    <row r="110">
      <c r="A110" t="inlineStr">
        <is>
          <t>Sat Sep 12  12:00 PM ET</t>
        </is>
      </c>
      <c r="B110" t="n">
        <v>2</v>
      </c>
      <c r="C110" t="inlineStr">
        <is>
          <t>Oregon</t>
        </is>
      </c>
      <c r="D110" t="inlineStr">
        <is>
          <t>Oklahoma State</t>
        </is>
      </c>
      <c r="E110" t="inlineStr">
        <is>
          <t>Boone Pickens Stadium</t>
        </is>
      </c>
      <c r="F110" t="inlineStr">
        <is>
          <t>31-39</t>
        </is>
      </c>
      <c r="G110" t="inlineStr">
        <is>
          <t>Oklahoma State|Oregon</t>
        </is>
      </c>
    </row>
    <row r="111">
      <c r="A111" t="inlineStr">
        <is>
          <t>Sat Sep 12  12:00 PM ET</t>
        </is>
      </c>
      <c r="B111" t="n">
        <v>2</v>
      </c>
      <c r="C111" t="inlineStr">
        <is>
          <t>Howard</t>
        </is>
      </c>
      <c r="D111" t="inlineStr">
        <is>
          <t>Indiana</t>
        </is>
      </c>
      <c r="E111" t="inlineStr">
        <is>
          <t>Memorial Stadium (Bloomington, IN)</t>
        </is>
      </c>
      <c r="F111" t="inlineStr">
        <is>
          <t>0-55</t>
        </is>
      </c>
      <c r="G111" t="inlineStr">
        <is>
          <t>Howard|Indiana</t>
        </is>
      </c>
    </row>
    <row r="112">
      <c r="A112" t="inlineStr">
        <is>
          <t>Sat Sep 12  12:00 PM ET</t>
        </is>
      </c>
      <c r="B112" t="n">
        <v>2</v>
      </c>
      <c r="C112" t="inlineStr">
        <is>
          <t>Penn State</t>
        </is>
      </c>
      <c r="D112" t="inlineStr">
        <is>
          <t>Temple</t>
        </is>
      </c>
      <c r="E112" t="inlineStr">
        <is>
          <t>Lincoln Financial Field</t>
        </is>
      </c>
      <c r="F112" t="inlineStr">
        <is>
          <t>27-9</t>
        </is>
      </c>
      <c r="G112" t="inlineStr">
        <is>
          <t>Penn State|Temple</t>
        </is>
      </c>
    </row>
    <row r="113">
      <c r="A113" t="inlineStr">
        <is>
          <t>Sat Sep 12  12:00 PM ET</t>
        </is>
      </c>
      <c r="B113" t="n">
        <v>2</v>
      </c>
      <c r="C113" t="inlineStr">
        <is>
          <t>Wagner</t>
        </is>
      </c>
      <c r="D113" t="inlineStr">
        <is>
          <t>James Madison</t>
        </is>
      </c>
      <c r="E113" t="inlineStr">
        <is>
          <t>Bridgeforth Stadium</t>
        </is>
      </c>
      <c r="F113" t="inlineStr">
        <is>
          <t>3-87</t>
        </is>
      </c>
      <c r="G113" t="inlineStr">
        <is>
          <t>James Madison|Wagner</t>
        </is>
      </c>
    </row>
    <row r="114">
      <c r="A114" t="inlineStr">
        <is>
          <t>Sat Sep 12  12:00 PM ET</t>
        </is>
      </c>
      <c r="B114" t="n">
        <v>2</v>
      </c>
      <c r="C114" t="inlineStr">
        <is>
          <t>Appalachian State</t>
        </is>
      </c>
      <c r="D114" t="inlineStr">
        <is>
          <t>East Carolina</t>
        </is>
      </c>
      <c r="E114" t="inlineStr">
        <is>
          <t>Dowdy-Ficklen Stadium</t>
        </is>
      </c>
      <c r="F114" t="inlineStr">
        <is>
          <t>27-24</t>
        </is>
      </c>
      <c r="G114" t="inlineStr">
        <is>
          <t>Appalachian State|East Carolina</t>
        </is>
      </c>
    </row>
    <row r="115">
      <c r="A115" t="inlineStr">
        <is>
          <t>Sat Sep 12  12:00 PM ET</t>
        </is>
      </c>
      <c r="B115" t="n">
        <v>2</v>
      </c>
      <c r="C115" t="inlineStr">
        <is>
          <t>Wofford</t>
        </is>
      </c>
      <c r="D115" t="inlineStr">
        <is>
          <t>Kent State</t>
        </is>
      </c>
      <c r="E115" t="inlineStr">
        <is>
          <t>Dix Stadium</t>
        </is>
      </c>
      <c r="F115" t="inlineStr">
        <is>
          <t>15-36</t>
        </is>
      </c>
      <c r="G115" t="inlineStr">
        <is>
          <t>Kent State|Wofford</t>
        </is>
      </c>
    </row>
    <row r="116">
      <c r="A116" t="inlineStr">
        <is>
          <t>Sat Sep 12  12:00 PM ET</t>
        </is>
      </c>
      <c r="B116" t="n">
        <v>2</v>
      </c>
      <c r="C116" t="inlineStr">
        <is>
          <t>Arizona State</t>
        </is>
      </c>
      <c r="D116" t="inlineStr">
        <is>
          <t>Texas A&amp;M</t>
        </is>
      </c>
      <c r="E116" t="inlineStr">
        <is>
          <t>Kyle Field</t>
        </is>
      </c>
      <c r="F116" t="inlineStr">
        <is>
          <t>20-48</t>
        </is>
      </c>
      <c r="G116" t="inlineStr">
        <is>
          <t>Arizona State|Texas A&amp;M</t>
        </is>
      </c>
    </row>
    <row r="117">
      <c r="A117" t="inlineStr">
        <is>
          <t>Sat Sep 12  12:00 PM ET</t>
        </is>
      </c>
      <c r="B117" t="n">
        <v>2</v>
      </c>
      <c r="C117" t="inlineStr">
        <is>
          <t>East Tennessee State</t>
        </is>
      </c>
      <c r="D117" t="inlineStr">
        <is>
          <t>North Carolina</t>
        </is>
      </c>
      <c r="E117" t="inlineStr">
        <is>
          <t>Kenan Stadium</t>
        </is>
      </c>
      <c r="F117" t="inlineStr">
        <is>
          <t>3-35</t>
        </is>
      </c>
      <c r="G117" t="inlineStr">
        <is>
          <t>East Tennessee State|North Carolina</t>
        </is>
      </c>
    </row>
    <row r="118">
      <c r="A118" t="inlineStr">
        <is>
          <t>Sat Sep 12  12:00 PM ET</t>
        </is>
      </c>
      <c r="B118" t="n">
        <v>2</v>
      </c>
      <c r="C118" t="inlineStr">
        <is>
          <t>Washington State</t>
        </is>
      </c>
      <c r="D118" t="inlineStr">
        <is>
          <t>Kansas State</t>
        </is>
      </c>
      <c r="E118" t="inlineStr">
        <is>
          <t>Bill Snyder Family Stadium</t>
        </is>
      </c>
      <c r="F118" t="inlineStr">
        <is>
          <t>7-34</t>
        </is>
      </c>
      <c r="G118" t="inlineStr">
        <is>
          <t>Kansas State|Washington State</t>
        </is>
      </c>
    </row>
    <row r="119">
      <c r="A119" t="inlineStr">
        <is>
          <t>Sat Sep 12  12:00 PM ET</t>
        </is>
      </c>
      <c r="B119" t="n">
        <v>2</v>
      </c>
      <c r="C119" t="inlineStr">
        <is>
          <t>South Florida</t>
        </is>
      </c>
      <c r="D119" t="inlineStr">
        <is>
          <t>Army</t>
        </is>
      </c>
      <c r="E119" t="inlineStr">
        <is>
          <t>Michie Stadium</t>
        </is>
      </c>
      <c r="F119" t="inlineStr">
        <is>
          <t>28-24</t>
        </is>
      </c>
      <c r="G119" t="inlineStr">
        <is>
          <t>Army|South Florida</t>
        </is>
      </c>
    </row>
    <row r="120">
      <c r="A120" t="inlineStr">
        <is>
          <t>Sat Sep 12  12:00 PM ET</t>
        </is>
      </c>
      <c r="B120" t="n">
        <v>2</v>
      </c>
      <c r="C120" t="inlineStr">
        <is>
          <t>Wake Forest</t>
        </is>
      </c>
      <c r="D120" t="inlineStr">
        <is>
          <t>Purdue</t>
        </is>
      </c>
      <c r="E120" t="inlineStr">
        <is>
          <t>Ross-Ade Stadium</t>
        </is>
      </c>
      <c r="F120" t="inlineStr">
        <is>
          <t>38-36</t>
        </is>
      </c>
      <c r="G120" t="inlineStr">
        <is>
          <t>Purdue|Wake Forest</t>
        </is>
      </c>
    </row>
    <row r="121">
      <c r="A121" t="inlineStr">
        <is>
          <t>Sat Sep 12  12:45 PM ET</t>
        </is>
      </c>
      <c r="B121" t="n">
        <v>2</v>
      </c>
      <c r="C121" t="inlineStr">
        <is>
          <t>Western Kentucky</t>
        </is>
      </c>
      <c r="D121" t="inlineStr">
        <is>
          <t>Georgia</t>
        </is>
      </c>
      <c r="E121" t="inlineStr">
        <is>
          <t>Sanford Stadium</t>
        </is>
      </c>
      <c r="F121" t="inlineStr">
        <is>
          <t>20-70</t>
        </is>
      </c>
      <c r="G121" t="inlineStr">
        <is>
          <t>Georgia|Western Kentucky</t>
        </is>
      </c>
    </row>
    <row r="122">
      <c r="A122" t="inlineStr">
        <is>
          <t>Sat Sep 12  1:00 PM ET</t>
        </is>
      </c>
      <c r="B122" t="n">
        <v>2</v>
      </c>
      <c r="C122" t="inlineStr">
        <is>
          <t>Holy Cross</t>
        </is>
      </c>
      <c r="D122" t="inlineStr">
        <is>
          <t>Miami (OH)</t>
        </is>
      </c>
      <c r="E122" t="inlineStr">
        <is>
          <t>Yager Stadium</t>
        </is>
      </c>
      <c r="F122" t="inlineStr">
        <is>
          <t>7-45</t>
        </is>
      </c>
      <c r="G122" t="inlineStr">
        <is>
          <t>Holy Cross|Miami (OH)</t>
        </is>
      </c>
    </row>
    <row r="123">
      <c r="A123" t="inlineStr">
        <is>
          <t>Sat Sep 12  1:00 PM ET</t>
        </is>
      </c>
      <c r="B123" t="n">
        <v>2</v>
      </c>
      <c r="C123" t="inlineStr">
        <is>
          <t>Colgate</t>
        </is>
      </c>
      <c r="D123" t="inlineStr">
        <is>
          <t>Central Michigan</t>
        </is>
      </c>
      <c r="E123" t="inlineStr">
        <is>
          <t>Kelly/Shorts Stadium</t>
        </is>
      </c>
      <c r="F123" t="inlineStr">
        <is>
          <t>10-13</t>
        </is>
      </c>
      <c r="G123" t="inlineStr">
        <is>
          <t>Central Michigan|Colgate</t>
        </is>
      </c>
    </row>
    <row r="124">
      <c r="A124" t="inlineStr">
        <is>
          <t>Sat Sep 12  1:00 PM ET</t>
        </is>
      </c>
      <c r="B124" t="n">
        <v>2</v>
      </c>
      <c r="C124" t="inlineStr">
        <is>
          <t>UT Martin</t>
        </is>
      </c>
      <c r="D124" t="inlineStr">
        <is>
          <t>West Virginia</t>
        </is>
      </c>
      <c r="E124" t="inlineStr">
        <is>
          <t>Milan Puskar Stadium</t>
        </is>
      </c>
      <c r="F124" t="inlineStr">
        <is>
          <t>7-52</t>
        </is>
      </c>
      <c r="G124" t="inlineStr">
        <is>
          <t>UT Martin|West Virginia</t>
        </is>
      </c>
    </row>
    <row r="125">
      <c r="A125" t="inlineStr">
        <is>
          <t>Sat Sep 12  2:00 PM ET</t>
        </is>
      </c>
      <c r="B125" t="n">
        <v>2</v>
      </c>
      <c r="C125" t="inlineStr">
        <is>
          <t>Stony Brook</t>
        </is>
      </c>
      <c r="D125" t="inlineStr">
        <is>
          <t>Ball State</t>
        </is>
      </c>
      <c r="E125" t="inlineStr">
        <is>
          <t>Scheumann Stadium</t>
        </is>
      </c>
      <c r="F125" t="inlineStr">
        <is>
          <t>17-41</t>
        </is>
      </c>
      <c r="G125" t="inlineStr">
        <is>
          <t>Ball State|Stony Brook</t>
        </is>
      </c>
    </row>
    <row r="126">
      <c r="A126" t="inlineStr">
        <is>
          <t>Sat Sep 12  3:30 PM ET</t>
        </is>
      </c>
      <c r="B126" t="n">
        <v>2</v>
      </c>
      <c r="C126" t="inlineStr">
        <is>
          <t>Eastern Michigan</t>
        </is>
      </c>
      <c r="D126" t="inlineStr">
        <is>
          <t>Michigan State</t>
        </is>
      </c>
      <c r="E126" t="inlineStr">
        <is>
          <t>Spartan Stadium</t>
        </is>
      </c>
      <c r="F126" t="inlineStr">
        <is>
          <t>7-35</t>
        </is>
      </c>
      <c r="G126" t="inlineStr">
        <is>
          <t>Eastern Michigan|Michigan State</t>
        </is>
      </c>
    </row>
    <row r="127">
      <c r="A127" t="inlineStr">
        <is>
          <t>Sat Sep 12  3:30 PM ET</t>
        </is>
      </c>
      <c r="B127" t="n">
        <v>2</v>
      </c>
      <c r="C127" t="inlineStr">
        <is>
          <t>Robert Morris</t>
        </is>
      </c>
      <c r="D127" t="inlineStr">
        <is>
          <t>Akron</t>
        </is>
      </c>
      <c r="E127" t="inlineStr">
        <is>
          <t>InfoCision Stadium</t>
        </is>
      </c>
      <c r="F127" t="inlineStr">
        <is>
          <t>10-45</t>
        </is>
      </c>
      <c r="G127" t="inlineStr">
        <is>
          <t>Akron|Robert Morris</t>
        </is>
      </c>
    </row>
    <row r="128">
      <c r="A128" t="inlineStr">
        <is>
          <t>Sat Sep 12  3:30 PM ET</t>
        </is>
      </c>
      <c r="B128" t="n">
        <v>2</v>
      </c>
      <c r="C128" t="inlineStr">
        <is>
          <t>Arizona</t>
        </is>
      </c>
      <c r="D128" t="inlineStr">
        <is>
          <t>BYU</t>
        </is>
      </c>
      <c r="E128" t="inlineStr">
        <is>
          <t>LaVell Edwards Stadium</t>
        </is>
      </c>
      <c r="F128" t="inlineStr">
        <is>
          <t>17-28</t>
        </is>
      </c>
      <c r="G128" t="inlineStr">
        <is>
          <t>Arizona|BYU</t>
        </is>
      </c>
    </row>
    <row r="129">
      <c r="A129" t="inlineStr">
        <is>
          <t>Sat Sep 12  3:30 PM ET</t>
        </is>
      </c>
      <c r="B129" t="n">
        <v>2</v>
      </c>
      <c r="C129" t="inlineStr">
        <is>
          <t>Mississippi State</t>
        </is>
      </c>
      <c r="D129" t="inlineStr">
        <is>
          <t>Minnesota</t>
        </is>
      </c>
      <c r="E129" t="inlineStr">
        <is>
          <t>Huntington Bank Stadium</t>
        </is>
      </c>
      <c r="F129" t="inlineStr">
        <is>
          <t>38-13</t>
        </is>
      </c>
      <c r="G129" t="inlineStr">
        <is>
          <t>Minnesota|Mississippi State</t>
        </is>
      </c>
    </row>
    <row r="130">
      <c r="A130" t="inlineStr">
        <is>
          <t>Sat Sep 12  3:30 PM ET</t>
        </is>
      </c>
      <c r="B130" t="n">
        <v>2</v>
      </c>
      <c r="C130" t="inlineStr">
        <is>
          <t>Alabama</t>
        </is>
      </c>
      <c r="D130" t="inlineStr">
        <is>
          <t>Kentucky</t>
        </is>
      </c>
      <c r="E130" t="inlineStr">
        <is>
          <t>Kroger Field</t>
        </is>
      </c>
      <c r="F130" t="inlineStr">
        <is>
          <t>45-17</t>
        </is>
      </c>
      <c r="G130" t="inlineStr">
        <is>
          <t>Alabama|Kentucky</t>
        </is>
      </c>
    </row>
    <row r="131">
      <c r="A131" t="inlineStr">
        <is>
          <t>Sat Sep 12  3:30 PM ET</t>
        </is>
      </c>
      <c r="B131" t="n">
        <v>2</v>
      </c>
      <c r="C131" t="inlineStr">
        <is>
          <t>UCF</t>
        </is>
      </c>
      <c r="D131" t="inlineStr">
        <is>
          <t>Pittsburgh</t>
        </is>
      </c>
      <c r="E131" t="inlineStr">
        <is>
          <t>Acrisure Stadium</t>
        </is>
      </c>
      <c r="F131" t="inlineStr">
        <is>
          <t>7-12</t>
        </is>
      </c>
      <c r="G131" t="inlineStr">
        <is>
          <t>Pittsburgh|UCF</t>
        </is>
      </c>
    </row>
    <row r="132">
      <c r="A132" t="inlineStr">
        <is>
          <t>Sat Sep 12  3:30 PM ET</t>
        </is>
      </c>
      <c r="B132" t="n">
        <v>2</v>
      </c>
      <c r="C132" t="inlineStr">
        <is>
          <t>Weber State</t>
        </is>
      </c>
      <c r="D132" t="inlineStr">
        <is>
          <t>Colorado</t>
        </is>
      </c>
      <c r="E132" t="inlineStr">
        <is>
          <t>Folsom Field</t>
        </is>
      </c>
      <c r="F132" t="inlineStr">
        <is>
          <t>21-52</t>
        </is>
      </c>
      <c r="G132" t="inlineStr">
        <is>
          <t>Colorado|Weber State</t>
        </is>
      </c>
    </row>
    <row r="133">
      <c r="A133" t="inlineStr">
        <is>
          <t>Sat Sep 12  3:30 PM ET</t>
        </is>
      </c>
      <c r="B133" t="n">
        <v>2</v>
      </c>
      <c r="C133" t="inlineStr">
        <is>
          <t>UTSA</t>
        </is>
      </c>
      <c r="D133" t="inlineStr">
        <is>
          <t>Texas State</t>
        </is>
      </c>
      <c r="E133" t="inlineStr">
        <is>
          <t>Bobcat Stadium (TX)</t>
        </is>
      </c>
      <c r="F133" t="inlineStr">
        <is>
          <t>31-26</t>
        </is>
      </c>
      <c r="G133" t="inlineStr">
        <is>
          <t>Texas State|UTSA</t>
        </is>
      </c>
    </row>
    <row r="134">
      <c r="A134" t="inlineStr">
        <is>
          <t>Sat Sep 12  3:30 PM ET</t>
        </is>
      </c>
      <c r="B134" t="n">
        <v>2</v>
      </c>
      <c r="C134" t="inlineStr">
        <is>
          <t>Maryland</t>
        </is>
      </c>
      <c r="D134" t="inlineStr">
        <is>
          <t>UConn</t>
        </is>
      </c>
      <c r="E134" t="inlineStr">
        <is>
          <t>Pratt &amp; Whitney Stadium</t>
        </is>
      </c>
      <c r="F134" t="inlineStr">
        <is>
          <t>38-14</t>
        </is>
      </c>
      <c r="G134" t="inlineStr">
        <is>
          <t>Maryland|UConn</t>
        </is>
      </c>
    </row>
    <row r="135">
      <c r="A135" t="inlineStr">
        <is>
          <t>Sat Sep 12  3:30 PM ET</t>
        </is>
      </c>
      <c r="B135" t="n">
        <v>2</v>
      </c>
      <c r="C135" t="inlineStr">
        <is>
          <t>Utah State</t>
        </is>
      </c>
      <c r="D135" t="inlineStr">
        <is>
          <t>Washington</t>
        </is>
      </c>
      <c r="E135" t="inlineStr">
        <is>
          <t>Husky Stadium</t>
        </is>
      </c>
      <c r="F135" t="inlineStr">
        <is>
          <t>14-16</t>
        </is>
      </c>
      <c r="G135" t="inlineStr">
        <is>
          <t>Utah State|Washington</t>
        </is>
      </c>
    </row>
    <row r="136">
      <c r="A136" t="inlineStr">
        <is>
          <t>Sat Sep 12  3:30 PM ET</t>
        </is>
      </c>
      <c r="B136" t="n">
        <v>2</v>
      </c>
      <c r="C136" t="inlineStr">
        <is>
          <t>Sacred Heart</t>
        </is>
      </c>
      <c r="D136" t="inlineStr">
        <is>
          <t>UMass</t>
        </is>
      </c>
      <c r="E136" t="inlineStr">
        <is>
          <t>Warren McGuirk Alumni Stadium</t>
        </is>
      </c>
      <c r="F136" t="inlineStr">
        <is>
          <t>10-37</t>
        </is>
      </c>
      <c r="G136" t="inlineStr">
        <is>
          <t>Sacred Heart|UMass</t>
        </is>
      </c>
    </row>
    <row r="137">
      <c r="A137" t="inlineStr">
        <is>
          <t>Sat Sep 12  3:30 PM ET</t>
        </is>
      </c>
      <c r="B137" t="n">
        <v>2</v>
      </c>
      <c r="C137" t="inlineStr">
        <is>
          <t>Central Connecticut</t>
        </is>
      </c>
      <c r="D137" t="inlineStr">
        <is>
          <t>Toledo</t>
        </is>
      </c>
      <c r="E137" t="inlineStr">
        <is>
          <t>Glass Bowl</t>
        </is>
      </c>
      <c r="F137" t="inlineStr">
        <is>
          <t>10-63</t>
        </is>
      </c>
      <c r="G137" t="inlineStr">
        <is>
          <t>Central Connecticut|Toledo</t>
        </is>
      </c>
    </row>
    <row r="138">
      <c r="A138" t="inlineStr">
        <is>
          <t>Sat Sep 12  3:30 PM ET</t>
        </is>
      </c>
      <c r="B138" t="n">
        <v>2</v>
      </c>
      <c r="C138" t="inlineStr">
        <is>
          <t>Duke</t>
        </is>
      </c>
      <c r="D138" t="inlineStr">
        <is>
          <t>Illinois</t>
        </is>
      </c>
      <c r="E138" t="inlineStr">
        <is>
          <t>Memorial Stadium (Champaign, IL)</t>
        </is>
      </c>
      <c r="F138" t="inlineStr">
        <is>
          <t>31-27</t>
        </is>
      </c>
      <c r="G138" t="inlineStr">
        <is>
          <t>Duke|Illinois</t>
        </is>
      </c>
    </row>
    <row r="139">
      <c r="A139" t="inlineStr">
        <is>
          <t>Sat Sep 12  3:30 PM ET</t>
        </is>
      </c>
      <c r="B139" t="n">
        <v>2</v>
      </c>
      <c r="C139" t="inlineStr">
        <is>
          <t>California</t>
        </is>
      </c>
      <c r="D139" t="inlineStr">
        <is>
          <t>Syracuse</t>
        </is>
      </c>
      <c r="E139" t="inlineStr">
        <is>
          <t>JMA Wireless Dome</t>
        </is>
      </c>
      <c r="F139" t="inlineStr">
        <is>
          <t>21-18</t>
        </is>
      </c>
      <c r="G139" t="inlineStr">
        <is>
          <t>California|Syracuse</t>
        </is>
      </c>
    </row>
    <row r="140">
      <c r="A140" t="inlineStr">
        <is>
          <t>Sat Sep 12  3:30 PM ET</t>
        </is>
      </c>
      <c r="B140" t="n">
        <v>2</v>
      </c>
      <c r="C140" t="inlineStr">
        <is>
          <t>Louisiana-Monroe</t>
        </is>
      </c>
      <c r="D140" t="inlineStr">
        <is>
          <t>UAB</t>
        </is>
      </c>
      <c r="E140" t="inlineStr">
        <is>
          <t>Protective Stadium</t>
        </is>
      </c>
      <c r="F140" t="inlineStr">
        <is>
          <t>20-26</t>
        </is>
      </c>
      <c r="G140" t="inlineStr">
        <is>
          <t>Louisiana-Monroe|UAB</t>
        </is>
      </c>
    </row>
    <row r="141">
      <c r="A141" t="inlineStr">
        <is>
          <t>Sat Sep 12  3:30 PM ET</t>
        </is>
      </c>
      <c r="B141" t="n">
        <v>2</v>
      </c>
      <c r="C141" t="inlineStr">
        <is>
          <t>Rice</t>
        </is>
      </c>
      <c r="D141" t="inlineStr">
        <is>
          <t>Notre Dame</t>
        </is>
      </c>
      <c r="E141" t="inlineStr">
        <is>
          <t>Notre Dame Stadium</t>
        </is>
      </c>
      <c r="F141" t="inlineStr">
        <is>
          <t>0-52</t>
        </is>
      </c>
      <c r="G141" t="inlineStr">
        <is>
          <t>Notre Dame|Rice</t>
        </is>
      </c>
    </row>
    <row r="142">
      <c r="A142" t="inlineStr">
        <is>
          <t>Sat Sep 12  3:45 PM ET</t>
        </is>
      </c>
      <c r="B142" t="n">
        <v>2</v>
      </c>
      <c r="C142" t="inlineStr">
        <is>
          <t>UNLV</t>
        </is>
      </c>
      <c r="D142" t="inlineStr">
        <is>
          <t>North Texas</t>
        </is>
      </c>
      <c r="E142" t="inlineStr">
        <is>
          <t>DATCU Stadium</t>
        </is>
      </c>
      <c r="F142" t="inlineStr">
        <is>
          <t>6-44</t>
        </is>
      </c>
      <c r="G142" t="inlineStr">
        <is>
          <t>North Texas|UNLV</t>
        </is>
      </c>
    </row>
    <row r="143">
      <c r="A143" t="inlineStr">
        <is>
          <t>Sat Sep 12  4:00 PM ET</t>
        </is>
      </c>
      <c r="B143" t="n">
        <v>2</v>
      </c>
      <c r="C143" t="inlineStr">
        <is>
          <t>Alabama State</t>
        </is>
      </c>
      <c r="D143" t="inlineStr">
        <is>
          <t>Troy</t>
        </is>
      </c>
      <c r="E143" t="inlineStr">
        <is>
          <t>Veterans Memorial Stadium (AL)</t>
        </is>
      </c>
      <c r="F143" t="inlineStr">
        <is>
          <t>17-34</t>
        </is>
      </c>
      <c r="G143" t="inlineStr">
        <is>
          <t>Alabama State|Troy</t>
        </is>
      </c>
    </row>
    <row r="144">
      <c r="A144" t="inlineStr">
        <is>
          <t>Sat Sep 12  4:00 PM ET</t>
        </is>
      </c>
      <c r="B144" t="n">
        <v>2</v>
      </c>
      <c r="C144" t="inlineStr">
        <is>
          <t>Mercyhurst</t>
        </is>
      </c>
      <c r="D144" t="inlineStr">
        <is>
          <t>New Mexico</t>
        </is>
      </c>
      <c r="E144" t="inlineStr">
        <is>
          <t>University Stadium (NM)</t>
        </is>
      </c>
      <c r="F144" t="inlineStr">
        <is>
          <t>7-70</t>
        </is>
      </c>
      <c r="G144" t="inlineStr">
        <is>
          <t>Mercyhurst|New Mexico</t>
        </is>
      </c>
    </row>
    <row r="145">
      <c r="A145" t="inlineStr">
        <is>
          <t>Sat Sep 12  4:00 PM ET</t>
        </is>
      </c>
      <c r="B145" t="n">
        <v>2</v>
      </c>
      <c r="C145" t="inlineStr">
        <is>
          <t>Northern Colorado</t>
        </is>
      </c>
      <c r="D145" t="inlineStr">
        <is>
          <t>Wyoming</t>
        </is>
      </c>
      <c r="E145" t="inlineStr">
        <is>
          <t>War Memorial Stadium</t>
        </is>
      </c>
      <c r="F145" t="inlineStr">
        <is>
          <t>13-21</t>
        </is>
      </c>
      <c r="G145" t="inlineStr">
        <is>
          <t>Northern Colorado|Wyoming</t>
        </is>
      </c>
    </row>
    <row r="146">
      <c r="A146" t="inlineStr">
        <is>
          <t>Sat Sep 12  4:00 PM ET</t>
        </is>
      </c>
      <c r="B146" t="n">
        <v>2</v>
      </c>
      <c r="C146" t="inlineStr">
        <is>
          <t>UC Davis</t>
        </is>
      </c>
      <c r="D146" t="inlineStr">
        <is>
          <t>SMU</t>
        </is>
      </c>
      <c r="E146" t="inlineStr">
        <is>
          <t>Gerald J. Ford Stadium</t>
        </is>
      </c>
      <c r="F146" t="inlineStr">
        <is>
          <t>10-56</t>
        </is>
      </c>
      <c r="G146" t="inlineStr">
        <is>
          <t>SMU|UC Davis</t>
        </is>
      </c>
    </row>
    <row r="147">
      <c r="A147" t="inlineStr">
        <is>
          <t>Sat Sep 12  4:15 PM ET</t>
        </is>
      </c>
      <c r="B147" t="n">
        <v>2</v>
      </c>
      <c r="C147" t="inlineStr">
        <is>
          <t>Delaware</t>
        </is>
      </c>
      <c r="D147" t="inlineStr">
        <is>
          <t>Vanderbilt</t>
        </is>
      </c>
      <c r="E147" t="inlineStr">
        <is>
          <t>FirstBank Stadium</t>
        </is>
      </c>
      <c r="F147" t="inlineStr">
        <is>
          <t>26-35</t>
        </is>
      </c>
      <c r="G147" t="inlineStr">
        <is>
          <t>Delaware|Vanderbilt</t>
        </is>
      </c>
    </row>
    <row r="148">
      <c r="A148" t="inlineStr">
        <is>
          <t>Sat Sep 12  5:30 PM ET</t>
        </is>
      </c>
      <c r="B148" t="n">
        <v>2</v>
      </c>
      <c r="C148" t="inlineStr">
        <is>
          <t>Campbell</t>
        </is>
      </c>
      <c r="D148" t="inlineStr">
        <is>
          <t>Florida</t>
        </is>
      </c>
      <c r="E148" t="inlineStr">
        <is>
          <t>Ben Hill Griffin Stadium</t>
        </is>
      </c>
      <c r="F148" t="inlineStr">
        <is>
          <t>3-52</t>
        </is>
      </c>
      <c r="G148" t="inlineStr">
        <is>
          <t>Campbell|Florida</t>
        </is>
      </c>
    </row>
    <row r="149">
      <c r="A149" t="inlineStr">
        <is>
          <t>Sat Sep 12  6:00 PM ET</t>
        </is>
      </c>
      <c r="B149" t="n">
        <v>2</v>
      </c>
      <c r="C149" t="inlineStr">
        <is>
          <t>Buffalo</t>
        </is>
      </c>
      <c r="D149" t="inlineStr">
        <is>
          <t>Florida International</t>
        </is>
      </c>
      <c r="E149" t="inlineStr">
        <is>
          <t>Pitbull Stadium</t>
        </is>
      </c>
      <c r="F149" t="inlineStr">
        <is>
          <t>20-33</t>
        </is>
      </c>
      <c r="G149" t="inlineStr">
        <is>
          <t>Buffalo|Florida International</t>
        </is>
      </c>
    </row>
    <row r="150">
      <c r="A150" t="inlineStr">
        <is>
          <t>Sat Sep 12  6:00 PM ET</t>
        </is>
      </c>
      <c r="B150" t="n">
        <v>2</v>
      </c>
      <c r="C150" t="inlineStr">
        <is>
          <t>Memphis</t>
        </is>
      </c>
      <c r="D150" t="inlineStr">
        <is>
          <t>Boise State</t>
        </is>
      </c>
      <c r="E150" t="inlineStr">
        <is>
          <t>Albertsons Stadium</t>
        </is>
      </c>
      <c r="F150" t="inlineStr">
        <is>
          <t>20-38</t>
        </is>
      </c>
      <c r="G150" t="inlineStr">
        <is>
          <t>Boise State|Memphis</t>
        </is>
      </c>
    </row>
    <row r="151">
      <c r="A151" t="inlineStr">
        <is>
          <t>Sat Sep 12  6:00 PM ET</t>
        </is>
      </c>
      <c r="B151" t="n">
        <v>2</v>
      </c>
      <c r="C151" t="inlineStr">
        <is>
          <t>Jacksonville State</t>
        </is>
      </c>
      <c r="D151" t="inlineStr">
        <is>
          <t>Ohio</t>
        </is>
      </c>
      <c r="E151" t="inlineStr">
        <is>
          <t>Peden Stadium</t>
        </is>
      </c>
      <c r="F151" t="inlineStr">
        <is>
          <t>27-29</t>
        </is>
      </c>
      <c r="G151" t="inlineStr">
        <is>
          <t>Jacksonville State|Ohio</t>
        </is>
      </c>
    </row>
    <row r="152">
      <c r="A152" t="inlineStr">
        <is>
          <t>Sat Sep 12  6:30 PM ET</t>
        </is>
      </c>
      <c r="B152" t="n">
        <v>2</v>
      </c>
      <c r="C152" t="inlineStr">
        <is>
          <t>Monmouth</t>
        </is>
      </c>
      <c r="D152" t="inlineStr">
        <is>
          <t>Western Michigan</t>
        </is>
      </c>
      <c r="E152" t="inlineStr">
        <is>
          <t>Waldo Stadium</t>
        </is>
      </c>
      <c r="F152" t="inlineStr">
        <is>
          <t>14-49</t>
        </is>
      </c>
      <c r="G152" t="inlineStr">
        <is>
          <t>Monmouth|Western Michigan</t>
        </is>
      </c>
    </row>
    <row r="153">
      <c r="A153" t="inlineStr">
        <is>
          <t>Sat Sep 12  7:00 PM ET</t>
        </is>
      </c>
      <c r="B153" t="n">
        <v>2</v>
      </c>
      <c r="C153" t="inlineStr">
        <is>
          <t>Towson</t>
        </is>
      </c>
      <c r="D153" t="inlineStr">
        <is>
          <t>South Carolina</t>
        </is>
      </c>
      <c r="E153" t="inlineStr">
        <is>
          <t>Williams-Brice Stadium</t>
        </is>
      </c>
      <c r="F153" t="inlineStr">
        <is>
          <t>9-45</t>
        </is>
      </c>
      <c r="G153" t="inlineStr">
        <is>
          <t>South Carolina|Towson</t>
        </is>
      </c>
    </row>
    <row r="154">
      <c r="A154" t="inlineStr">
        <is>
          <t>Sat Sep 12  7:00 PM ET</t>
        </is>
      </c>
      <c r="B154" t="n">
        <v>2</v>
      </c>
      <c r="C154" t="inlineStr">
        <is>
          <t>Tennessee</t>
        </is>
      </c>
      <c r="D154" t="inlineStr">
        <is>
          <t>Georgia Tech</t>
        </is>
      </c>
      <c r="E154" t="inlineStr">
        <is>
          <t>Bobby Dodd Stadium</t>
        </is>
      </c>
      <c r="F154" t="inlineStr">
        <is>
          <t>45-24</t>
        </is>
      </c>
      <c r="G154" t="inlineStr">
        <is>
          <t>Georgia Tech|Tennessee</t>
        </is>
      </c>
    </row>
    <row r="155">
      <c r="A155" t="inlineStr">
        <is>
          <t>Sat Sep 12  7:00 PM ET</t>
        </is>
      </c>
      <c r="B155" t="n">
        <v>2</v>
      </c>
      <c r="C155" t="inlineStr">
        <is>
          <t>Southern</t>
        </is>
      </c>
      <c r="D155" t="inlineStr">
        <is>
          <t>Houston</t>
        </is>
      </c>
      <c r="E155" t="inlineStr">
        <is>
          <t>TDECU Stadium</t>
        </is>
      </c>
      <c r="F155" t="inlineStr">
        <is>
          <t>6-77</t>
        </is>
      </c>
      <c r="G155" t="inlineStr">
        <is>
          <t>Houston|Southern</t>
        </is>
      </c>
    </row>
    <row r="156">
      <c r="A156" t="inlineStr">
        <is>
          <t>Sat Sep 12  7:00 PM ET</t>
        </is>
      </c>
      <c r="B156" t="n">
        <v>2</v>
      </c>
      <c r="C156" t="inlineStr">
        <is>
          <t>Tulsa</t>
        </is>
      </c>
      <c r="D156" t="inlineStr">
        <is>
          <t>Sam Houston</t>
        </is>
      </c>
      <c r="E156" t="inlineStr">
        <is>
          <t>Elliott T. Bowers Stadium</t>
        </is>
      </c>
      <c r="F156" t="inlineStr">
        <is>
          <t>23-17</t>
        </is>
      </c>
      <c r="G156" t="inlineStr">
        <is>
          <t>Sam Houston|Tulsa</t>
        </is>
      </c>
    </row>
    <row r="157">
      <c r="A157" t="inlineStr">
        <is>
          <t>Sat Sep 12  7:00 PM ET</t>
        </is>
      </c>
      <c r="B157" t="n">
        <v>2</v>
      </c>
      <c r="C157" t="inlineStr">
        <is>
          <t>South Alabama</t>
        </is>
      </c>
      <c r="D157" t="inlineStr">
        <is>
          <t>Tulane</t>
        </is>
      </c>
      <c r="E157" t="inlineStr">
        <is>
          <t>Yulman Stadium</t>
        </is>
      </c>
      <c r="F157" t="inlineStr">
        <is>
          <t>24-28</t>
        </is>
      </c>
      <c r="G157" t="inlineStr">
        <is>
          <t>South Alabama|Tulane</t>
        </is>
      </c>
    </row>
    <row r="158">
      <c r="A158" t="inlineStr">
        <is>
          <t>Sat Sep 12  7:00 PM ET</t>
        </is>
      </c>
      <c r="B158" t="n">
        <v>2</v>
      </c>
      <c r="C158" t="inlineStr">
        <is>
          <t>Lindenwood</t>
        </is>
      </c>
      <c r="D158" t="inlineStr">
        <is>
          <t>Missouri State</t>
        </is>
      </c>
      <c r="E158" t="inlineStr">
        <is>
          <t>Plaster Sports Complex</t>
        </is>
      </c>
      <c r="F158" t="inlineStr">
        <is>
          <t>14-48</t>
        </is>
      </c>
      <c r="G158" t="inlineStr">
        <is>
          <t>Lindenwood|Missouri State</t>
        </is>
      </c>
    </row>
    <row r="159">
      <c r="A159" t="inlineStr">
        <is>
          <t>Sat Sep 12  7:00 PM ET</t>
        </is>
      </c>
      <c r="B159" t="n">
        <v>2</v>
      </c>
      <c r="C159" t="inlineStr">
        <is>
          <t>Middle Tennessee</t>
        </is>
      </c>
      <c r="D159" t="inlineStr">
        <is>
          <t>Marshall</t>
        </is>
      </c>
      <c r="E159" t="inlineStr">
        <is>
          <t>Joan C. Edwards Stadium</t>
        </is>
      </c>
      <c r="F159" t="inlineStr">
        <is>
          <t>26-28</t>
        </is>
      </c>
      <c r="G159" t="inlineStr">
        <is>
          <t>Marshall|Middle Tennessee</t>
        </is>
      </c>
    </row>
    <row r="160">
      <c r="A160" t="inlineStr">
        <is>
          <t>Sat Sep 12  7:00 PM ET</t>
        </is>
      </c>
      <c r="B160" t="n">
        <v>2</v>
      </c>
      <c r="C160" t="inlineStr">
        <is>
          <t>Bowling Green</t>
        </is>
      </c>
      <c r="D160" t="inlineStr">
        <is>
          <t>Nebraska</t>
        </is>
      </c>
      <c r="E160" t="inlineStr">
        <is>
          <t>Memorial Stadium (Lincoln, NE)</t>
        </is>
      </c>
      <c r="F160" t="inlineStr">
        <is>
          <t>7-56</t>
        </is>
      </c>
      <c r="G160" t="inlineStr">
        <is>
          <t>Bowling Green|Nebraska</t>
        </is>
      </c>
    </row>
    <row r="161">
      <c r="A161" t="inlineStr">
        <is>
          <t>Sat Sep 12  7:00 PM ET</t>
        </is>
      </c>
      <c r="B161" t="n">
        <v>2</v>
      </c>
      <c r="C161" t="inlineStr">
        <is>
          <t>Southern Utah</t>
        </is>
      </c>
      <c r="D161" t="inlineStr">
        <is>
          <t>Colorado State</t>
        </is>
      </c>
      <c r="E161" t="inlineStr">
        <is>
          <t>Canvas Stadium</t>
        </is>
      </c>
      <c r="F161" t="inlineStr">
        <is>
          <t>24-58</t>
        </is>
      </c>
      <c r="G161" t="inlineStr">
        <is>
          <t>Colorado State|Southern Utah</t>
        </is>
      </c>
    </row>
    <row r="162">
      <c r="A162" t="inlineStr">
        <is>
          <t>Sat Sep 12  7:00 PM ET</t>
        </is>
      </c>
      <c r="B162" t="n">
        <v>2</v>
      </c>
      <c r="C162" t="inlineStr">
        <is>
          <t>Georgia State</t>
        </is>
      </c>
      <c r="D162" t="inlineStr">
        <is>
          <t>Kennesaw State</t>
        </is>
      </c>
      <c r="E162" t="inlineStr">
        <is>
          <t>Fifth Third Stadium</t>
        </is>
      </c>
      <c r="F162" t="inlineStr">
        <is>
          <t>31-17</t>
        </is>
      </c>
      <c r="G162" t="inlineStr">
        <is>
          <t>Georgia State|Kennesaw State</t>
        </is>
      </c>
    </row>
    <row r="163">
      <c r="A163" t="inlineStr">
        <is>
          <t>Sat Sep 12  7:00 PM ET</t>
        </is>
      </c>
      <c r="B163" t="n">
        <v>2</v>
      </c>
      <c r="C163" t="inlineStr">
        <is>
          <t>West Georgia</t>
        </is>
      </c>
      <c r="D163" t="inlineStr">
        <is>
          <t>Arkansas State</t>
        </is>
      </c>
      <c r="E163" t="inlineStr">
        <is>
          <t>Centennial Bank Stadium</t>
        </is>
      </c>
      <c r="F163" t="inlineStr">
        <is>
          <t>7-52</t>
        </is>
      </c>
      <c r="G163" t="inlineStr">
        <is>
          <t>Arkansas State|West Georgia</t>
        </is>
      </c>
    </row>
    <row r="164">
      <c r="A164" t="inlineStr">
        <is>
          <t>Sat Sep 12  7:00 PM ET</t>
        </is>
      </c>
      <c r="B164" t="n">
        <v>2</v>
      </c>
      <c r="C164" t="inlineStr">
        <is>
          <t>Illinois State</t>
        </is>
      </c>
      <c r="D164" t="inlineStr">
        <is>
          <t>Northern Illinois</t>
        </is>
      </c>
      <c r="E164" t="inlineStr">
        <is>
          <t>Huskie Stadium</t>
        </is>
      </c>
      <c r="F164" t="inlineStr">
        <is>
          <t>28-24</t>
        </is>
      </c>
      <c r="G164" t="inlineStr">
        <is>
          <t>Illinois State|Northern Illinois</t>
        </is>
      </c>
    </row>
    <row r="165">
      <c r="A165" t="inlineStr">
        <is>
          <t>Sat Sep 12  7:00 PM ET</t>
        </is>
      </c>
      <c r="B165" t="n">
        <v>2</v>
      </c>
      <c r="C165" t="inlineStr">
        <is>
          <t>Western Carolina</t>
        </is>
      </c>
      <c r="D165" t="inlineStr">
        <is>
          <t>Cincinnati</t>
        </is>
      </c>
      <c r="E165" t="inlineStr">
        <is>
          <t>Nippert Stadium</t>
        </is>
      </c>
      <c r="F165" t="inlineStr">
        <is>
          <t>10-62</t>
        </is>
      </c>
      <c r="G165" t="inlineStr">
        <is>
          <t>Cincinnati|Western Carolina</t>
        </is>
      </c>
    </row>
    <row r="166">
      <c r="A166" t="inlineStr">
        <is>
          <t>Sat Sep 12  7:15 PM ET</t>
        </is>
      </c>
      <c r="B166" t="n">
        <v>2</v>
      </c>
      <c r="C166" t="inlineStr">
        <is>
          <t>San Diego State</t>
        </is>
      </c>
      <c r="D166" t="inlineStr">
        <is>
          <t>UCLA</t>
        </is>
      </c>
      <c r="E166" t="inlineStr">
        <is>
          <t>Rose Bowl</t>
        </is>
      </c>
      <c r="F166" t="inlineStr">
        <is>
          <t>10-28</t>
        </is>
      </c>
      <c r="G166" t="inlineStr">
        <is>
          <t>San Diego State|UCLA</t>
        </is>
      </c>
    </row>
    <row r="167">
      <c r="A167" t="inlineStr">
        <is>
          <t>Sat Sep 12  7:15 PM ET</t>
        </is>
      </c>
      <c r="B167" t="n">
        <v>2</v>
      </c>
      <c r="C167" t="inlineStr">
        <is>
          <t>Western Illinois</t>
        </is>
      </c>
      <c r="D167" t="inlineStr">
        <is>
          <t>Wisconsin</t>
        </is>
      </c>
      <c r="E167" t="inlineStr">
        <is>
          <t>Camp Randall Stadium</t>
        </is>
      </c>
      <c r="F167" t="inlineStr">
        <is>
          <t>9-36</t>
        </is>
      </c>
      <c r="G167" t="inlineStr">
        <is>
          <t>Western Illinois|Wisconsin</t>
        </is>
      </c>
    </row>
    <row r="168">
      <c r="A168" t="inlineStr">
        <is>
          <t>Sat Sep 12  7:30 PM ET</t>
        </is>
      </c>
      <c r="B168" t="n">
        <v>2</v>
      </c>
      <c r="C168" t="inlineStr">
        <is>
          <t>Fordham</t>
        </is>
      </c>
      <c r="D168" t="inlineStr">
        <is>
          <t>Coastal Carolina</t>
        </is>
      </c>
      <c r="E168" t="inlineStr">
        <is>
          <t>Brooks Stadium (SC)</t>
        </is>
      </c>
      <c r="F168" t="inlineStr">
        <is>
          <t>7-45</t>
        </is>
      </c>
      <c r="G168" t="inlineStr">
        <is>
          <t>Coastal Carolina|Fordham</t>
        </is>
      </c>
    </row>
    <row r="169">
      <c r="A169" t="inlineStr">
        <is>
          <t>Sat Sep 12  7:30 PM ET</t>
        </is>
      </c>
      <c r="B169" t="n">
        <v>2</v>
      </c>
      <c r="C169" t="inlineStr">
        <is>
          <t>Ohio State</t>
        </is>
      </c>
      <c r="D169" t="inlineStr">
        <is>
          <t>Texas</t>
        </is>
      </c>
      <c r="E169" t="inlineStr">
        <is>
          <t>DKR-Texas Memorial Stadium</t>
        </is>
      </c>
      <c r="F169" t="inlineStr">
        <is>
          <t>23-24</t>
        </is>
      </c>
      <c r="G169" t="inlineStr">
        <is>
          <t>Ohio State|Texas</t>
        </is>
      </c>
    </row>
    <row r="170">
      <c r="A170" t="inlineStr">
        <is>
          <t>Sat Sep 12  7:30 PM ET</t>
        </is>
      </c>
      <c r="B170" t="n">
        <v>2</v>
      </c>
      <c r="C170" t="inlineStr">
        <is>
          <t>Iowa State</t>
        </is>
      </c>
      <c r="D170" t="inlineStr">
        <is>
          <t>Iowa</t>
        </is>
      </c>
      <c r="E170" t="inlineStr">
        <is>
          <t>Kinnick Stadium</t>
        </is>
      </c>
      <c r="F170" t="inlineStr">
        <is>
          <t>13-16</t>
        </is>
      </c>
      <c r="G170" t="inlineStr">
        <is>
          <t>Iowa|Iowa State</t>
        </is>
      </c>
    </row>
    <row r="171">
      <c r="A171" t="inlineStr">
        <is>
          <t>Sat Sep 12  7:30 PM ET</t>
        </is>
      </c>
      <c r="B171" t="n">
        <v>2</v>
      </c>
      <c r="C171" t="inlineStr">
        <is>
          <t>Louisiana Tech</t>
        </is>
      </c>
      <c r="D171" t="inlineStr">
        <is>
          <t>LSU</t>
        </is>
      </c>
      <c r="E171" t="inlineStr">
        <is>
          <t>Tiger Stadium (LA)</t>
        </is>
      </c>
      <c r="F171" t="inlineStr">
        <is>
          <t>14-45</t>
        </is>
      </c>
      <c r="G171" t="inlineStr">
        <is>
          <t>LSU|Louisiana Tech</t>
        </is>
      </c>
    </row>
    <row r="172">
      <c r="A172" t="inlineStr">
        <is>
          <t>Sat Sep 12  7:30 PM ET</t>
        </is>
      </c>
      <c r="B172" t="n">
        <v>2</v>
      </c>
      <c r="C172" t="inlineStr">
        <is>
          <t>Navy</t>
        </is>
      </c>
      <c r="D172" t="inlineStr">
        <is>
          <t>Florida Atlantic</t>
        </is>
      </c>
      <c r="E172" t="inlineStr">
        <is>
          <t>FAU Stadium</t>
        </is>
      </c>
      <c r="F172" t="inlineStr">
        <is>
          <t>30-38</t>
        </is>
      </c>
      <c r="G172" t="inlineStr">
        <is>
          <t>Florida Atlantic|Navy</t>
        </is>
      </c>
    </row>
    <row r="173">
      <c r="A173" t="inlineStr">
        <is>
          <t>Sat Sep 12  7:30 PM ET</t>
        </is>
      </c>
      <c r="B173" t="n">
        <v>2</v>
      </c>
      <c r="C173" t="inlineStr">
        <is>
          <t>Georgia Southern</t>
        </is>
      </c>
      <c r="D173" t="inlineStr">
        <is>
          <t>Clemson</t>
        </is>
      </c>
      <c r="E173" t="inlineStr">
        <is>
          <t>Memorial Stadium (Clemson, SC)</t>
        </is>
      </c>
      <c r="F173" t="inlineStr">
        <is>
          <t>7-22</t>
        </is>
      </c>
      <c r="G173" t="inlineStr">
        <is>
          <t>Clemson|Georgia Southern</t>
        </is>
      </c>
    </row>
    <row r="174">
      <c r="A174" t="inlineStr">
        <is>
          <t>Sat Sep 12  7:30 PM ET</t>
        </is>
      </c>
      <c r="B174" t="n">
        <v>2</v>
      </c>
      <c r="C174" t="inlineStr">
        <is>
          <t>Texas Tech</t>
        </is>
      </c>
      <c r="D174" t="inlineStr">
        <is>
          <t>Oregon State</t>
        </is>
      </c>
      <c r="E174" t="inlineStr">
        <is>
          <t>Reser Stadium</t>
        </is>
      </c>
      <c r="F174" t="inlineStr">
        <is>
          <t>35-24</t>
        </is>
      </c>
      <c r="G174" t="inlineStr">
        <is>
          <t>Oregon State|Texas Tech</t>
        </is>
      </c>
    </row>
    <row r="175">
      <c r="A175" t="inlineStr">
        <is>
          <t>Sat Sep 12  7:45 PM ET</t>
        </is>
      </c>
      <c r="B175" t="n">
        <v>2</v>
      </c>
      <c r="C175" t="inlineStr">
        <is>
          <t>Southern Miss</t>
        </is>
      </c>
      <c r="D175" t="inlineStr">
        <is>
          <t>Auburn</t>
        </is>
      </c>
      <c r="E175" t="inlineStr">
        <is>
          <t>Jordan-Hare Stadium</t>
        </is>
      </c>
      <c r="F175" t="inlineStr">
        <is>
          <t>8-43</t>
        </is>
      </c>
      <c r="G175" t="inlineStr">
        <is>
          <t>Auburn|Southern Miss</t>
        </is>
      </c>
    </row>
    <row r="176">
      <c r="A176" t="inlineStr">
        <is>
          <t>Sat Sep 12  7:45 PM ET</t>
        </is>
      </c>
      <c r="B176" t="n">
        <v>2</v>
      </c>
      <c r="C176" t="inlineStr">
        <is>
          <t>Charlotte</t>
        </is>
      </c>
      <c r="D176" t="inlineStr">
        <is>
          <t>Ole Miss</t>
        </is>
      </c>
      <c r="E176" t="inlineStr">
        <is>
          <t>Vaught-Hemingway Stadium</t>
        </is>
      </c>
      <c r="F176" t="inlineStr">
        <is>
          <t>9-41</t>
        </is>
      </c>
      <c r="G176" t="inlineStr">
        <is>
          <t>Charlotte|Ole Miss</t>
        </is>
      </c>
    </row>
    <row r="177">
      <c r="A177" t="inlineStr">
        <is>
          <t>Sat Sep 12  8:00 PM ET</t>
        </is>
      </c>
      <c r="B177" t="n">
        <v>2</v>
      </c>
      <c r="C177" t="inlineStr">
        <is>
          <t>Grambling</t>
        </is>
      </c>
      <c r="D177" t="inlineStr">
        <is>
          <t>TCU</t>
        </is>
      </c>
      <c r="E177" t="inlineStr">
        <is>
          <t>Amon G. Carter Stadium</t>
        </is>
      </c>
      <c r="F177" t="inlineStr">
        <is>
          <t>7-63</t>
        </is>
      </c>
      <c r="G177" t="inlineStr">
        <is>
          <t>Grambling|TCU</t>
        </is>
      </c>
    </row>
    <row r="178">
      <c r="A178" t="inlineStr">
        <is>
          <t>Sat Sep 12  8:08 PM ET</t>
        </is>
      </c>
      <c r="B178" t="n">
        <v>2</v>
      </c>
      <c r="C178" t="inlineStr">
        <is>
          <t>Prairie View A&amp;M</t>
        </is>
      </c>
      <c r="D178" t="inlineStr">
        <is>
          <t>Baylor</t>
        </is>
      </c>
      <c r="E178" t="inlineStr">
        <is>
          <t>McLane Stadium</t>
        </is>
      </c>
      <c r="F178" t="inlineStr">
        <is>
          <t>3-44</t>
        </is>
      </c>
      <c r="G178" t="inlineStr">
        <is>
          <t>Baylor|Prairie View A&amp;M</t>
        </is>
      </c>
    </row>
    <row r="179">
      <c r="A179" t="inlineStr">
        <is>
          <t>Sat Sep 12  9:00 PM ET</t>
        </is>
      </c>
      <c r="B179" t="n">
        <v>2</v>
      </c>
      <c r="C179" t="inlineStr">
        <is>
          <t>Cal Poly</t>
        </is>
      </c>
      <c r="D179" t="inlineStr">
        <is>
          <t>San Jose State</t>
        </is>
      </c>
      <c r="E179" t="inlineStr">
        <is>
          <t>CEFCU Stadium</t>
        </is>
      </c>
      <c r="F179" t="inlineStr">
        <is>
          <t>20-30</t>
        </is>
      </c>
      <c r="G179" t="inlineStr">
        <is>
          <t>Cal Poly|San Jose State</t>
        </is>
      </c>
    </row>
    <row r="180">
      <c r="A180" t="inlineStr">
        <is>
          <t>Sat Sep 12  9:00 PM ET</t>
        </is>
      </c>
      <c r="B180" t="n">
        <v>2</v>
      </c>
      <c r="C180" t="inlineStr">
        <is>
          <t>Texas Southern</t>
        </is>
      </c>
      <c r="D180" t="inlineStr">
        <is>
          <t>UTEP</t>
        </is>
      </c>
      <c r="E180" t="inlineStr">
        <is>
          <t>Sun Bowl</t>
        </is>
      </c>
      <c r="F180" t="inlineStr">
        <is>
          <t>10-51</t>
        </is>
      </c>
      <c r="G180" t="inlineStr">
        <is>
          <t>Texas Southern|UTEP</t>
        </is>
      </c>
    </row>
    <row r="181">
      <c r="A181" t="inlineStr">
        <is>
          <t>Sat Sep 12  10:00 PM ET</t>
        </is>
      </c>
      <c r="B181" t="n">
        <v>2</v>
      </c>
      <c r="C181" t="inlineStr">
        <is>
          <t>North Dakota State</t>
        </is>
      </c>
      <c r="D181" t="inlineStr">
        <is>
          <t>Air Force</t>
        </is>
      </c>
      <c r="E181" t="inlineStr">
        <is>
          <t>Falcon Stadium</t>
        </is>
      </c>
      <c r="F181" t="inlineStr">
        <is>
          <t>38-32</t>
        </is>
      </c>
      <c r="G181" t="inlineStr">
        <is>
          <t>Air Force|North Dakota State</t>
        </is>
      </c>
    </row>
    <row r="182">
      <c r="A182" t="inlineStr">
        <is>
          <t>Sat Sep 12  10:15 PM ET</t>
        </is>
      </c>
      <c r="B182" t="n">
        <v>2</v>
      </c>
      <c r="C182" t="inlineStr">
        <is>
          <t>Arkansas</t>
        </is>
      </c>
      <c r="D182" t="inlineStr">
        <is>
          <t>Utah</t>
        </is>
      </c>
      <c r="E182" t="inlineStr">
        <is>
          <t>Rice-Eccles Stadium</t>
        </is>
      </c>
      <c r="F182" t="inlineStr">
        <is>
          <t>10-43</t>
        </is>
      </c>
      <c r="G182" t="inlineStr">
        <is>
          <t>Arkansas|Utah</t>
        </is>
      </c>
    </row>
    <row r="183">
      <c r="A183" t="inlineStr">
        <is>
          <t>Sat Sep 12  10:30 PM ET</t>
        </is>
      </c>
      <c r="B183" t="n">
        <v>2</v>
      </c>
      <c r="C183" t="inlineStr">
        <is>
          <t>Sacramento State</t>
        </is>
      </c>
      <c r="D183" t="inlineStr">
        <is>
          <t>Fresno State</t>
        </is>
      </c>
      <c r="E183" t="inlineStr">
        <is>
          <t>Valley Children's Stadium</t>
        </is>
      </c>
      <c r="F183" t="inlineStr">
        <is>
          <t>3-49</t>
        </is>
      </c>
      <c r="G183" t="inlineStr">
        <is>
          <t>Fresno State|Sacramento State</t>
        </is>
      </c>
    </row>
    <row r="184">
      <c r="A184" t="inlineStr">
        <is>
          <t>Sat Sep 12  10:30 PM ET</t>
        </is>
      </c>
      <c r="B184" t="n">
        <v>2</v>
      </c>
      <c r="C184" t="inlineStr">
        <is>
          <t>Montana State</t>
        </is>
      </c>
      <c r="D184" t="inlineStr">
        <is>
          <t>Nevada</t>
        </is>
      </c>
      <c r="E184" t="inlineStr">
        <is>
          <t>Mackay Stadium</t>
        </is>
      </c>
      <c r="F184" t="inlineStr">
        <is>
          <t>20-7</t>
        </is>
      </c>
      <c r="G184" t="inlineStr">
        <is>
          <t>Montana State|Nevada</t>
        </is>
      </c>
    </row>
    <row r="185">
      <c r="A185" t="inlineStr">
        <is>
          <t>Sat Sep 12  11:00 PM ET</t>
        </is>
      </c>
      <c r="B185" t="n">
        <v>2</v>
      </c>
      <c r="C185" t="inlineStr">
        <is>
          <t>Louisiana</t>
        </is>
      </c>
      <c r="D185" t="inlineStr">
        <is>
          <t>USC</t>
        </is>
      </c>
      <c r="E185" t="inlineStr">
        <is>
          <t>Los Angeles Memorial Coliseum</t>
        </is>
      </c>
      <c r="F185" t="inlineStr">
        <is>
          <t>30-49</t>
        </is>
      </c>
      <c r="G185" t="inlineStr">
        <is>
          <t>Louisiana|USC</t>
        </is>
      </c>
    </row>
    <row r="186">
      <c r="A186" t="inlineStr">
        <is>
          <t>Sat Sep 12  11:59 PM ET</t>
        </is>
      </c>
      <c r="B186" t="n">
        <v>2</v>
      </c>
      <c r="C186" t="inlineStr">
        <is>
          <t>New Mexico State</t>
        </is>
      </c>
      <c r="D186" t="inlineStr">
        <is>
          <t>Hawaii</t>
        </is>
      </c>
      <c r="E186" t="inlineStr">
        <is>
          <t>Clarence T.C. Ching Athletics Complex</t>
        </is>
      </c>
      <c r="F186" t="inlineStr">
        <is>
          <t>19-29</t>
        </is>
      </c>
      <c r="G186" t="inlineStr">
        <is>
          <t>Hawaii|New Mexico State</t>
        </is>
      </c>
    </row>
    <row r="187">
      <c r="A187" t="inlineStr">
        <is>
          <t>Thu Sep 17  7:30 PM ET</t>
        </is>
      </c>
      <c r="B187" t="n">
        <v>3</v>
      </c>
      <c r="C187" t="inlineStr">
        <is>
          <t>Syracuse</t>
        </is>
      </c>
      <c r="D187" t="inlineStr">
        <is>
          <t>Pittsburgh</t>
        </is>
      </c>
      <c r="E187" t="inlineStr">
        <is>
          <t>Acrisure Stadium</t>
        </is>
      </c>
      <c r="F187" t="inlineStr">
        <is>
          <t>13-27</t>
        </is>
      </c>
      <c r="G187" t="inlineStr">
        <is>
          <t>Pittsburgh|Syracuse</t>
        </is>
      </c>
    </row>
    <row r="188">
      <c r="A188" t="inlineStr">
        <is>
          <t>Fri Sep 18  7:30 PM ET</t>
        </is>
      </c>
      <c r="B188" t="n">
        <v>3</v>
      </c>
      <c r="C188" t="inlineStr">
        <is>
          <t>Miami</t>
        </is>
      </c>
      <c r="D188" t="inlineStr">
        <is>
          <t>Wake Forest</t>
        </is>
      </c>
      <c r="E188" t="inlineStr">
        <is>
          <t>Allegacy Federal Credit Union Stadium</t>
        </is>
      </c>
      <c r="F188" t="inlineStr">
        <is>
          <t>33-20</t>
        </is>
      </c>
      <c r="G188" t="inlineStr">
        <is>
          <t>Miami|Wake Forest</t>
        </is>
      </c>
    </row>
    <row r="189">
      <c r="A189" t="inlineStr">
        <is>
          <t>Fri Sep 18  8:00 PM ET</t>
        </is>
      </c>
      <c r="B189" t="n">
        <v>3</v>
      </c>
      <c r="C189" t="inlineStr">
        <is>
          <t>Houston</t>
        </is>
      </c>
      <c r="D189" t="inlineStr">
        <is>
          <t>Texas Tech</t>
        </is>
      </c>
      <c r="E189" t="inlineStr">
        <is>
          <t>Jones AT&amp;T Stadium</t>
        </is>
      </c>
      <c r="F189" t="inlineStr">
        <is>
          <t>26-28</t>
        </is>
      </c>
      <c r="G189" t="inlineStr">
        <is>
          <t>Houston|Texas Tech</t>
        </is>
      </c>
    </row>
    <row r="190">
      <c r="A190" t="inlineStr">
        <is>
          <t>Fri Sep 18  10:30 PM ET</t>
        </is>
      </c>
      <c r="B190" t="n">
        <v>3</v>
      </c>
      <c r="C190" t="inlineStr">
        <is>
          <t>Portland State</t>
        </is>
      </c>
      <c r="D190" t="inlineStr">
        <is>
          <t>Oregon</t>
        </is>
      </c>
      <c r="E190" t="inlineStr">
        <is>
          <t>Autzen Stadium</t>
        </is>
      </c>
      <c r="F190" t="inlineStr">
        <is>
          <t>0-84</t>
        </is>
      </c>
      <c r="G190" t="inlineStr">
        <is>
          <t>Oregon|Portland State</t>
        </is>
      </c>
    </row>
    <row r="191">
      <c r="A191" t="inlineStr">
        <is>
          <t>Sat Sep 19  11:30 AM ET</t>
        </is>
      </c>
      <c r="B191" t="n">
        <v>3</v>
      </c>
      <c r="C191" t="inlineStr">
        <is>
          <t>Coastal Carolina</t>
        </is>
      </c>
      <c r="D191" t="inlineStr">
        <is>
          <t>Delaware</t>
        </is>
      </c>
      <c r="E191" t="inlineStr">
        <is>
          <t>Delaware Stadium</t>
        </is>
      </c>
      <c r="F191" t="inlineStr">
        <is>
          <t>14-22</t>
        </is>
      </c>
      <c r="G191" t="inlineStr">
        <is>
          <t>Coastal Carolina|Delaware</t>
        </is>
      </c>
    </row>
    <row r="192">
      <c r="A192" t="inlineStr">
        <is>
          <t>Sat Sep 19  12:00 PM ET</t>
        </is>
      </c>
      <c r="B192" t="n">
        <v>3</v>
      </c>
      <c r="C192" t="inlineStr">
        <is>
          <t>Buffalo</t>
        </is>
      </c>
      <c r="D192" t="inlineStr">
        <is>
          <t>Penn State</t>
        </is>
      </c>
      <c r="E192" t="inlineStr">
        <is>
          <t>Beaver Stadium</t>
        </is>
      </c>
      <c r="F192" t="inlineStr">
        <is>
          <t>13-55</t>
        </is>
      </c>
      <c r="G192" t="inlineStr">
        <is>
          <t>Buffalo|Penn State</t>
        </is>
      </c>
    </row>
    <row r="193">
      <c r="A193" t="inlineStr">
        <is>
          <t>Sat Sep 19  12:00 PM ET</t>
        </is>
      </c>
      <c r="B193" t="n">
        <v>3</v>
      </c>
      <c r="C193" t="inlineStr">
        <is>
          <t>North Texas</t>
        </is>
      </c>
      <c r="D193" t="inlineStr">
        <is>
          <t>Texas State</t>
        </is>
      </c>
      <c r="E193" t="inlineStr">
        <is>
          <t>Bobcat Stadium (TX)</t>
        </is>
      </c>
      <c r="F193" t="inlineStr">
        <is>
          <t>35-49</t>
        </is>
      </c>
      <c r="G193" t="inlineStr">
        <is>
          <t>North Texas|Texas State</t>
        </is>
      </c>
    </row>
    <row r="194">
      <c r="A194" t="inlineStr">
        <is>
          <t>Sat Sep 19  12:00 PM ET</t>
        </is>
      </c>
      <c r="B194" t="n">
        <v>3</v>
      </c>
      <c r="C194" t="inlineStr">
        <is>
          <t>Akron</t>
        </is>
      </c>
      <c r="D194" t="inlineStr">
        <is>
          <t>Minnesota</t>
        </is>
      </c>
      <c r="E194" t="inlineStr">
        <is>
          <t>Huntington Bank Stadium</t>
        </is>
      </c>
      <c r="F194" t="inlineStr">
        <is>
          <t>7-41</t>
        </is>
      </c>
      <c r="G194" t="inlineStr">
        <is>
          <t>Akron|Minnesota</t>
        </is>
      </c>
    </row>
    <row r="195">
      <c r="A195" t="inlineStr">
        <is>
          <t>Sat Sep 19  12:00 PM ET</t>
        </is>
      </c>
      <c r="B195" t="n">
        <v>3</v>
      </c>
      <c r="C195" t="inlineStr">
        <is>
          <t>North Carolina</t>
        </is>
      </c>
      <c r="D195" t="inlineStr">
        <is>
          <t>Clemson</t>
        </is>
      </c>
      <c r="E195" t="inlineStr">
        <is>
          <t>Memorial Stadium (Clemson, SC)</t>
        </is>
      </c>
      <c r="F195" t="inlineStr">
        <is>
          <t>20-28</t>
        </is>
      </c>
      <c r="G195" t="inlineStr">
        <is>
          <t>Clemson|North Carolina</t>
        </is>
      </c>
    </row>
    <row r="196">
      <c r="A196" t="inlineStr">
        <is>
          <t>Sat Sep 19  12:00 PM ET</t>
        </is>
      </c>
      <c r="B196" t="n">
        <v>3</v>
      </c>
      <c r="C196" t="inlineStr">
        <is>
          <t>Mercer</t>
        </is>
      </c>
      <c r="D196" t="inlineStr">
        <is>
          <t>Georgia Tech</t>
        </is>
      </c>
      <c r="E196" t="inlineStr">
        <is>
          <t>Bobby Dodd Stadium</t>
        </is>
      </c>
      <c r="F196" t="inlineStr">
        <is>
          <t>11-44</t>
        </is>
      </c>
      <c r="G196" t="inlineStr">
        <is>
          <t>Georgia Tech|Mercer</t>
        </is>
      </c>
    </row>
    <row r="197">
      <c r="A197" t="inlineStr">
        <is>
          <t>Sat Sep 19  12:00 PM ET</t>
        </is>
      </c>
      <c r="B197" t="n">
        <v>3</v>
      </c>
      <c r="C197" t="inlineStr">
        <is>
          <t>Bowling Green</t>
        </is>
      </c>
      <c r="D197" t="inlineStr">
        <is>
          <t>Iowa State</t>
        </is>
      </c>
      <c r="E197" t="inlineStr">
        <is>
          <t>Jack Trice Stadium</t>
        </is>
      </c>
      <c r="F197" t="inlineStr">
        <is>
          <t>7-55</t>
        </is>
      </c>
      <c r="G197" t="inlineStr">
        <is>
          <t>Bowling Green|Iowa State</t>
        </is>
      </c>
    </row>
    <row r="198">
      <c r="A198" t="inlineStr">
        <is>
          <t>Sat Sep 19  12:00 PM ET</t>
        </is>
      </c>
      <c r="B198" t="n">
        <v>3</v>
      </c>
      <c r="C198" t="inlineStr">
        <is>
          <t>Georgia</t>
        </is>
      </c>
      <c r="D198" t="inlineStr">
        <is>
          <t>Arkansas</t>
        </is>
      </c>
      <c r="E198" t="inlineStr">
        <is>
          <t>Razorback Stadium</t>
        </is>
      </c>
      <c r="F198" t="inlineStr">
        <is>
          <t>45-17</t>
        </is>
      </c>
      <c r="G198" t="inlineStr">
        <is>
          <t>Arkansas|Georgia</t>
        </is>
      </c>
    </row>
    <row r="199">
      <c r="A199" t="inlineStr">
        <is>
          <t>Sat Sep 19  12:00 PM ET</t>
        </is>
      </c>
      <c r="B199" t="n">
        <v>3</v>
      </c>
      <c r="C199" t="inlineStr">
        <is>
          <t>Kent State</t>
        </is>
      </c>
      <c r="D199" t="inlineStr">
        <is>
          <t>Ohio State</t>
        </is>
      </c>
      <c r="E199" t="inlineStr">
        <is>
          <t>Ohio Stadium</t>
        </is>
      </c>
      <c r="F199" t="inlineStr">
        <is>
          <t>3-59</t>
        </is>
      </c>
      <c r="G199" t="inlineStr">
        <is>
          <t>Kent State|Ohio State</t>
        </is>
      </c>
    </row>
    <row r="200">
      <c r="A200" t="inlineStr">
        <is>
          <t>Sat Sep 19  12:00 PM ET</t>
        </is>
      </c>
      <c r="B200" t="n">
        <v>3</v>
      </c>
      <c r="C200" t="inlineStr">
        <is>
          <t>Arizona State</t>
        </is>
      </c>
      <c r="D200" t="inlineStr">
        <is>
          <t>Kansas</t>
        </is>
      </c>
      <c r="E200" t="inlineStr">
        <is>
          <t>Neutral site</t>
        </is>
      </c>
      <c r="F200" t="inlineStr">
        <is>
          <t>24-17</t>
        </is>
      </c>
      <c r="G200" t="inlineStr">
        <is>
          <t>Arizona State|Kansas</t>
        </is>
      </c>
    </row>
    <row r="201">
      <c r="A201" t="inlineStr">
        <is>
          <t>Sat Sep 19  12:00 PM ET</t>
        </is>
      </c>
      <c r="B201" t="n">
        <v>3</v>
      </c>
      <c r="C201" t="inlineStr">
        <is>
          <t>Tulane</t>
        </is>
      </c>
      <c r="D201" t="inlineStr">
        <is>
          <t>Kansas State</t>
        </is>
      </c>
      <c r="E201" t="inlineStr">
        <is>
          <t>Bill Snyder Family Stadium</t>
        </is>
      </c>
      <c r="F201" t="inlineStr">
        <is>
          <t>20-31</t>
        </is>
      </c>
      <c r="G201" t="inlineStr">
        <is>
          <t>Kansas State|Tulane</t>
        </is>
      </c>
    </row>
    <row r="202">
      <c r="A202" t="inlineStr">
        <is>
          <t>Sat Sep 19  12:30 PM ET</t>
        </is>
      </c>
      <c r="B202" t="n">
        <v>3</v>
      </c>
      <c r="C202" t="inlineStr">
        <is>
          <t>Eastern Michigan</t>
        </is>
      </c>
      <c r="D202" t="inlineStr">
        <is>
          <t>Wisconsin</t>
        </is>
      </c>
      <c r="E202" t="inlineStr">
        <is>
          <t>Camp Randall Stadium</t>
        </is>
      </c>
      <c r="F202" t="inlineStr">
        <is>
          <t>10-54</t>
        </is>
      </c>
      <c r="G202" t="inlineStr">
        <is>
          <t>Eastern Michigan|Wisconsin</t>
        </is>
      </c>
    </row>
    <row r="203">
      <c r="A203" t="inlineStr">
        <is>
          <t>Sat Sep 19  12:45 PM ET</t>
        </is>
      </c>
      <c r="B203" t="n">
        <v>3</v>
      </c>
      <c r="C203" t="inlineStr">
        <is>
          <t>NC State</t>
        </is>
      </c>
      <c r="D203" t="inlineStr">
        <is>
          <t>Vanderbilt</t>
        </is>
      </c>
      <c r="E203" t="inlineStr">
        <is>
          <t>FirstBank Stadium</t>
        </is>
      </c>
      <c r="F203" t="inlineStr">
        <is>
          <t>31-35</t>
        </is>
      </c>
      <c r="G203" t="inlineStr">
        <is>
          <t>NC State|Vanderbilt</t>
        </is>
      </c>
    </row>
    <row r="204">
      <c r="A204" t="inlineStr">
        <is>
          <t>Sat Sep 19  1:00 PM ET</t>
        </is>
      </c>
      <c r="B204" t="n">
        <v>3</v>
      </c>
      <c r="C204" t="inlineStr">
        <is>
          <t>Wyoming</t>
        </is>
      </c>
      <c r="D204" t="inlineStr">
        <is>
          <t>Central Michigan</t>
        </is>
      </c>
      <c r="E204" t="inlineStr">
        <is>
          <t>Kelly/Shorts Stadium</t>
        </is>
      </c>
      <c r="F204" t="inlineStr">
        <is>
          <t>10-24</t>
        </is>
      </c>
      <c r="G204" t="inlineStr">
        <is>
          <t>Central Michigan|Wyoming</t>
        </is>
      </c>
    </row>
    <row r="205">
      <c r="A205" t="inlineStr">
        <is>
          <t>Sat Sep 19  2:00 PM ET</t>
        </is>
      </c>
      <c r="B205" t="n">
        <v>3</v>
      </c>
      <c r="C205" t="inlineStr">
        <is>
          <t>Southern Illinois</t>
        </is>
      </c>
      <c r="D205" t="inlineStr">
        <is>
          <t>Illinois</t>
        </is>
      </c>
      <c r="E205" t="inlineStr">
        <is>
          <t>Memorial Stadium (Champaign, IL)</t>
        </is>
      </c>
      <c r="F205" t="inlineStr">
        <is>
          <t>10-48</t>
        </is>
      </c>
      <c r="G205" t="inlineStr">
        <is>
          <t>Illinois|Southern Illinois</t>
        </is>
      </c>
    </row>
    <row r="206">
      <c r="A206" t="inlineStr">
        <is>
          <t>Sat Sep 19  2:00 PM ET</t>
        </is>
      </c>
      <c r="B206" t="n">
        <v>3</v>
      </c>
      <c r="C206" t="inlineStr">
        <is>
          <t>Maine</t>
        </is>
      </c>
      <c r="D206" t="inlineStr">
        <is>
          <t>Boston College</t>
        </is>
      </c>
      <c r="E206" t="inlineStr">
        <is>
          <t>Alumni Stadium (Chestnut Hill, MA)</t>
        </is>
      </c>
      <c r="F206" t="inlineStr">
        <is>
          <t>16-22</t>
        </is>
      </c>
      <c r="G206" t="inlineStr">
        <is>
          <t>Boston College|Maine</t>
        </is>
      </c>
    </row>
    <row r="207">
      <c r="A207" t="inlineStr">
        <is>
          <t>Sat Sep 19  3:00 PM ET</t>
        </is>
      </c>
      <c r="B207" t="n">
        <v>3</v>
      </c>
      <c r="C207" t="inlineStr">
        <is>
          <t>Temple</t>
        </is>
      </c>
      <c r="D207" t="inlineStr">
        <is>
          <t>Toledo</t>
        </is>
      </c>
      <c r="E207" t="inlineStr">
        <is>
          <t>Glass Bowl</t>
        </is>
      </c>
      <c r="F207" t="inlineStr">
        <is>
          <t>48-49</t>
        </is>
      </c>
      <c r="G207" t="inlineStr">
        <is>
          <t>Temple|Toledo</t>
        </is>
      </c>
    </row>
    <row r="208">
      <c r="A208" t="inlineStr">
        <is>
          <t>Sat Sep 19  3:30 PM ET</t>
        </is>
      </c>
      <c r="B208" t="n">
        <v>3</v>
      </c>
      <c r="C208" t="inlineStr">
        <is>
          <t>Utah State</t>
        </is>
      </c>
      <c r="D208" t="inlineStr">
        <is>
          <t>Utah</t>
        </is>
      </c>
      <c r="E208" t="inlineStr">
        <is>
          <t>Rice-Eccles Stadium</t>
        </is>
      </c>
      <c r="F208" t="inlineStr">
        <is>
          <t>0-33</t>
        </is>
      </c>
      <c r="G208" t="inlineStr">
        <is>
          <t>Utah|Utah State</t>
        </is>
      </c>
    </row>
    <row r="209">
      <c r="A209" t="inlineStr">
        <is>
          <t>Sat Sep 19  3:30 PM ET</t>
        </is>
      </c>
      <c r="B209" t="n">
        <v>3</v>
      </c>
      <c r="C209" t="inlineStr">
        <is>
          <t>UTEP</t>
        </is>
      </c>
      <c r="D209" t="inlineStr">
        <is>
          <t>Michigan</t>
        </is>
      </c>
      <c r="E209" t="inlineStr">
        <is>
          <t>Michigan Stadium</t>
        </is>
      </c>
      <c r="F209" t="inlineStr">
        <is>
          <t>17-52</t>
        </is>
      </c>
      <c r="G209" t="inlineStr">
        <is>
          <t>Michigan|UTEP</t>
        </is>
      </c>
    </row>
    <row r="210">
      <c r="A210" t="inlineStr">
        <is>
          <t>Sat Sep 19  3:30 PM ET</t>
        </is>
      </c>
      <c r="B210" t="n">
        <v>3</v>
      </c>
      <c r="C210" t="inlineStr">
        <is>
          <t>Kentucky</t>
        </is>
      </c>
      <c r="D210" t="inlineStr">
        <is>
          <t>Texas A&amp;M</t>
        </is>
      </c>
      <c r="E210" t="inlineStr">
        <is>
          <t>Kyle Field</t>
        </is>
      </c>
      <c r="F210" t="inlineStr">
        <is>
          <t>31-21</t>
        </is>
      </c>
      <c r="G210" t="inlineStr">
        <is>
          <t>Kentucky|Texas A&amp;M</t>
        </is>
      </c>
    </row>
    <row r="211">
      <c r="A211" t="inlineStr">
        <is>
          <t>Sat Sep 19  3:30 PM ET</t>
        </is>
      </c>
      <c r="B211" t="n">
        <v>3</v>
      </c>
      <c r="C211" t="inlineStr">
        <is>
          <t>Duquesne</t>
        </is>
      </c>
      <c r="D211" t="inlineStr">
        <is>
          <t>Washington State</t>
        </is>
      </c>
      <c r="E211" t="inlineStr">
        <is>
          <t>Gesa Field</t>
        </is>
      </c>
      <c r="F211" t="inlineStr">
        <is>
          <t>7-48</t>
        </is>
      </c>
      <c r="G211" t="inlineStr">
        <is>
          <t>Duquesne|Washington State</t>
        </is>
      </c>
    </row>
    <row r="212">
      <c r="A212" t="inlineStr">
        <is>
          <t>Sat Sep 19  3:30 PM ET</t>
        </is>
      </c>
      <c r="B212" t="n">
        <v>3</v>
      </c>
      <c r="C212" t="inlineStr">
        <is>
          <t>Wagner</t>
        </is>
      </c>
      <c r="D212" t="inlineStr">
        <is>
          <t>California</t>
        </is>
      </c>
      <c r="E212" t="inlineStr">
        <is>
          <t>California Memorial Stadium</t>
        </is>
      </c>
      <c r="F212" t="inlineStr">
        <is>
          <t>7-49</t>
        </is>
      </c>
      <c r="G212" t="inlineStr">
        <is>
          <t>California|Wagner</t>
        </is>
      </c>
    </row>
    <row r="213">
      <c r="A213" t="inlineStr">
        <is>
          <t>Sat Sep 19  3:30 PM ET</t>
        </is>
      </c>
      <c r="B213" t="n">
        <v>3</v>
      </c>
      <c r="C213" t="inlineStr">
        <is>
          <t>USC</t>
        </is>
      </c>
      <c r="D213" t="inlineStr">
        <is>
          <t>Rutgers</t>
        </is>
      </c>
      <c r="E213" t="inlineStr">
        <is>
          <t>SHI Stadium</t>
        </is>
      </c>
      <c r="F213" t="inlineStr">
        <is>
          <t>42-35</t>
        </is>
      </c>
      <c r="G213" t="inlineStr">
        <is>
          <t>Rutgers|USC</t>
        </is>
      </c>
    </row>
    <row r="214">
      <c r="A214" t="inlineStr">
        <is>
          <t>Sat Sep 19  3:30 PM ET</t>
        </is>
      </c>
      <c r="B214" t="n">
        <v>3</v>
      </c>
      <c r="C214" t="inlineStr">
        <is>
          <t>Stonehill</t>
        </is>
      </c>
      <c r="D214" t="inlineStr">
        <is>
          <t>UMass</t>
        </is>
      </c>
      <c r="E214" t="inlineStr">
        <is>
          <t>Warren McGuirk Alumni Stadium</t>
        </is>
      </c>
      <c r="F214" t="inlineStr">
        <is>
          <t>14-36</t>
        </is>
      </c>
      <c r="G214" t="inlineStr">
        <is>
          <t>Stonehill|UMass</t>
        </is>
      </c>
    </row>
    <row r="215">
      <c r="A215" t="inlineStr">
        <is>
          <t>Sat Sep 19  3:30 PM ET</t>
        </is>
      </c>
      <c r="B215" t="n">
        <v>3</v>
      </c>
      <c r="C215" t="inlineStr">
        <is>
          <t>SMU</t>
        </is>
      </c>
      <c r="D215" t="inlineStr">
        <is>
          <t>Louisville</t>
        </is>
      </c>
      <c r="E215" t="inlineStr">
        <is>
          <t>L&amp;N Federal Credit Union Stadium</t>
        </is>
      </c>
      <c r="F215" t="inlineStr">
        <is>
          <t>31-41</t>
        </is>
      </c>
      <c r="G215" t="inlineStr">
        <is>
          <t>Louisville|SMU</t>
        </is>
      </c>
    </row>
    <row r="216">
      <c r="A216" t="inlineStr">
        <is>
          <t>Sat Sep 19  3:30 PM ET</t>
        </is>
      </c>
      <c r="B216" t="n">
        <v>3</v>
      </c>
      <c r="C216" t="inlineStr">
        <is>
          <t>Florida State</t>
        </is>
      </c>
      <c r="D216" t="inlineStr">
        <is>
          <t>Alabama</t>
        </is>
      </c>
      <c r="E216" t="inlineStr">
        <is>
          <t>Bryant-Denny Stadium</t>
        </is>
      </c>
      <c r="F216" t="inlineStr">
        <is>
          <t>36-50</t>
        </is>
      </c>
      <c r="G216" t="inlineStr">
        <is>
          <t>Alabama|Florida State</t>
        </is>
      </c>
    </row>
    <row r="217">
      <c r="A217" t="inlineStr">
        <is>
          <t>Sat Sep 19  3:30 PM ET</t>
        </is>
      </c>
      <c r="B217" t="n">
        <v>3</v>
      </c>
      <c r="C217" t="inlineStr">
        <is>
          <t>Miami (OH)</t>
        </is>
      </c>
      <c r="D217" t="inlineStr">
        <is>
          <t>Cincinnati</t>
        </is>
      </c>
      <c r="E217" t="inlineStr">
        <is>
          <t>TQL Stadium</t>
        </is>
      </c>
      <c r="F217" t="inlineStr">
        <is>
          <t>31-35</t>
        </is>
      </c>
      <c r="G217" t="inlineStr">
        <is>
          <t>Cincinnati|Miami (OH)</t>
        </is>
      </c>
    </row>
    <row r="218">
      <c r="A218" t="inlineStr">
        <is>
          <t>Sat Sep 19  4:00 PM ET</t>
        </is>
      </c>
      <c r="B218" t="n">
        <v>3</v>
      </c>
      <c r="C218" t="inlineStr">
        <is>
          <t>Ball State</t>
        </is>
      </c>
      <c r="D218" t="inlineStr">
        <is>
          <t>Liberty</t>
        </is>
      </c>
      <c r="E218" t="inlineStr">
        <is>
          <t>Williams Stadium (VA)</t>
        </is>
      </c>
      <c r="F218" t="inlineStr">
        <is>
          <t>15-51</t>
        </is>
      </c>
      <c r="G218" t="inlineStr">
        <is>
          <t>Ball State|Liberty</t>
        </is>
      </c>
    </row>
    <row r="219">
      <c r="A219" t="inlineStr">
        <is>
          <t>Sat Sep 19  4:00 PM ET</t>
        </is>
      </c>
      <c r="B219" t="n">
        <v>3</v>
      </c>
      <c r="C219" t="inlineStr">
        <is>
          <t>Northern Iowa</t>
        </is>
      </c>
      <c r="D219" t="inlineStr">
        <is>
          <t>Iowa</t>
        </is>
      </c>
      <c r="E219" t="inlineStr">
        <is>
          <t>Kinnick Stadium</t>
        </is>
      </c>
      <c r="F219" t="inlineStr">
        <is>
          <t>0-55</t>
        </is>
      </c>
      <c r="G219" t="inlineStr">
        <is>
          <t>Iowa|Northern Iowa</t>
        </is>
      </c>
    </row>
    <row r="220">
      <c r="A220" t="inlineStr">
        <is>
          <t>Sat Sep 19  4:00 PM ET</t>
        </is>
      </c>
      <c r="B220" t="n">
        <v>3</v>
      </c>
      <c r="C220" t="inlineStr">
        <is>
          <t>Western Kentucky</t>
        </is>
      </c>
      <c r="D220" t="inlineStr">
        <is>
          <t>Indiana</t>
        </is>
      </c>
      <c r="E220" t="inlineStr">
        <is>
          <t>Memorial Stadium (Bloomington, IN)</t>
        </is>
      </c>
      <c r="F220" t="inlineStr">
        <is>
          <t>0-38</t>
        </is>
      </c>
      <c r="G220" t="inlineStr">
        <is>
          <t>Indiana|Western Kentucky</t>
        </is>
      </c>
    </row>
    <row r="221">
      <c r="A221" t="inlineStr">
        <is>
          <t>Sat Sep 19  4:00 PM ET</t>
        </is>
      </c>
      <c r="B221" t="n">
        <v>3</v>
      </c>
      <c r="C221" t="inlineStr">
        <is>
          <t>Stanford</t>
        </is>
      </c>
      <c r="D221" t="inlineStr">
        <is>
          <t>Duke</t>
        </is>
      </c>
      <c r="E221" t="inlineStr">
        <is>
          <t>Wallace Wade Stadium</t>
        </is>
      </c>
      <c r="F221" t="inlineStr">
        <is>
          <t>7-35</t>
        </is>
      </c>
      <c r="G221" t="inlineStr">
        <is>
          <t>Duke|Stanford</t>
        </is>
      </c>
    </row>
    <row r="222">
      <c r="A222" t="inlineStr">
        <is>
          <t>Sat Sep 19  4:00 PM ET</t>
        </is>
      </c>
      <c r="B222" t="n">
        <v>3</v>
      </c>
      <c r="C222" t="inlineStr">
        <is>
          <t>Louisiana Tech</t>
        </is>
      </c>
      <c r="D222" t="inlineStr">
        <is>
          <t>Baylor</t>
        </is>
      </c>
      <c r="E222" t="inlineStr">
        <is>
          <t>McLane Stadium</t>
        </is>
      </c>
      <c r="F222" t="inlineStr">
        <is>
          <t>19-36</t>
        </is>
      </c>
      <c r="G222" t="inlineStr">
        <is>
          <t>Baylor|Louisiana Tech</t>
        </is>
      </c>
    </row>
    <row r="223">
      <c r="A223" t="inlineStr">
        <is>
          <t>Sat Sep 19  4:15 PM ET</t>
        </is>
      </c>
      <c r="B223" t="n">
        <v>3</v>
      </c>
      <c r="C223" t="inlineStr">
        <is>
          <t>Mississippi State</t>
        </is>
      </c>
      <c r="D223" t="inlineStr">
        <is>
          <t>South Carolina</t>
        </is>
      </c>
      <c r="E223" t="inlineStr">
        <is>
          <t>Williams-Brice Stadium</t>
        </is>
      </c>
      <c r="F223" t="inlineStr">
        <is>
          <t>41-34</t>
        </is>
      </c>
      <c r="G223" t="inlineStr">
        <is>
          <t>Mississippi State|South Carolina</t>
        </is>
      </c>
    </row>
    <row r="224">
      <c r="A224" t="inlineStr">
        <is>
          <t>Sat Sep 19  4:30 PM ET</t>
        </is>
      </c>
      <c r="B224" t="n">
        <v>3</v>
      </c>
      <c r="C224" t="inlineStr">
        <is>
          <t>SE Louisiana</t>
        </is>
      </c>
      <c r="D224" t="inlineStr">
        <is>
          <t>Louisiana-Monroe</t>
        </is>
      </c>
      <c r="E224" t="inlineStr">
        <is>
          <t>Malone Stadium</t>
        </is>
      </c>
      <c r="F224" t="inlineStr">
        <is>
          <t>38-35</t>
        </is>
      </c>
      <c r="G224" t="inlineStr">
        <is>
          <t>Louisiana-Monroe|SE Louisiana</t>
        </is>
      </c>
    </row>
    <row r="225">
      <c r="A225" t="inlineStr">
        <is>
          <t>Sat Sep 19  6:00 PM ET</t>
        </is>
      </c>
      <c r="B225" t="n">
        <v>3</v>
      </c>
      <c r="C225" t="inlineStr">
        <is>
          <t>East Carolina</t>
        </is>
      </c>
      <c r="D225" t="inlineStr">
        <is>
          <t>Old Dominion</t>
        </is>
      </c>
      <c r="E225" t="inlineStr">
        <is>
          <t>S.B. Ballard Stadium</t>
        </is>
      </c>
      <c r="F225" t="inlineStr">
        <is>
          <t>20-17</t>
        </is>
      </c>
      <c r="G225" t="inlineStr">
        <is>
          <t>East Carolina|Old Dominion</t>
        </is>
      </c>
    </row>
    <row r="226">
      <c r="A226" t="inlineStr">
        <is>
          <t>Sat Sep 19  6:00 PM ET</t>
        </is>
      </c>
      <c r="B226" t="n">
        <v>3</v>
      </c>
      <c r="C226" t="inlineStr">
        <is>
          <t>Charlotte</t>
        </is>
      </c>
      <c r="D226" t="inlineStr">
        <is>
          <t>Appalachian State</t>
        </is>
      </c>
      <c r="E226" t="inlineStr">
        <is>
          <t>Kidd Brewer Stadium</t>
        </is>
      </c>
      <c r="F226" t="inlineStr">
        <is>
          <t>21-26</t>
        </is>
      </c>
      <c r="G226" t="inlineStr">
        <is>
          <t>Appalachian State|Charlotte</t>
        </is>
      </c>
    </row>
    <row r="227">
      <c r="A227" t="inlineStr">
        <is>
          <t>Sat Sep 19  6:00 PM ET</t>
        </is>
      </c>
      <c r="B227" t="n">
        <v>3</v>
      </c>
      <c r="C227" t="inlineStr">
        <is>
          <t>Florida International</t>
        </is>
      </c>
      <c r="D227" t="inlineStr">
        <is>
          <t>Florida Atlantic</t>
        </is>
      </c>
      <c r="E227" t="inlineStr">
        <is>
          <t>FAU Stadium</t>
        </is>
      </c>
      <c r="F227" t="inlineStr">
        <is>
          <t>10-16</t>
        </is>
      </c>
      <c r="G227" t="inlineStr">
        <is>
          <t>Florida Atlantic|Florida International</t>
        </is>
      </c>
    </row>
    <row r="228">
      <c r="A228" t="inlineStr">
        <is>
          <t>Sat Sep 19  6:30 PM ET</t>
        </is>
      </c>
      <c r="B228" t="n">
        <v>3</v>
      </c>
      <c r="C228" t="inlineStr">
        <is>
          <t>Marshall</t>
        </is>
      </c>
      <c r="D228" t="inlineStr">
        <is>
          <t>Missouri State</t>
        </is>
      </c>
      <c r="E228" t="inlineStr">
        <is>
          <t>Plaster Sports Complex</t>
        </is>
      </c>
      <c r="F228" t="inlineStr">
        <is>
          <t>30-24</t>
        </is>
      </c>
      <c r="G228" t="inlineStr">
        <is>
          <t>Marshall|Missouri State</t>
        </is>
      </c>
    </row>
    <row r="229">
      <c r="A229" t="inlineStr">
        <is>
          <t>Sat Sep 19  7:00 PM ET</t>
        </is>
      </c>
      <c r="B229" t="n">
        <v>3</v>
      </c>
      <c r="C229" t="inlineStr">
        <is>
          <t>UT Martin</t>
        </is>
      </c>
      <c r="D229" t="inlineStr">
        <is>
          <t>Memphis</t>
        </is>
      </c>
      <c r="E229" t="inlineStr">
        <is>
          <t>Simmons Bank Liberty Stadium</t>
        </is>
      </c>
      <c r="F229" t="inlineStr">
        <is>
          <t>21-45</t>
        </is>
      </c>
      <c r="G229" t="inlineStr">
        <is>
          <t>Memphis|UT Martin</t>
        </is>
      </c>
    </row>
    <row r="230">
      <c r="A230" t="inlineStr">
        <is>
          <t>Sat Sep 19  7:00 PM ET</t>
        </is>
      </c>
      <c r="B230" t="n">
        <v>3</v>
      </c>
      <c r="C230" t="inlineStr">
        <is>
          <t>Murray State</t>
        </is>
      </c>
      <c r="D230" t="inlineStr">
        <is>
          <t>Oklahoma State</t>
        </is>
      </c>
      <c r="E230" t="inlineStr">
        <is>
          <t>Boone Pickens Stadium</t>
        </is>
      </c>
      <c r="F230" t="inlineStr">
        <is>
          <t>0-59</t>
        </is>
      </c>
      <c r="G230" t="inlineStr">
        <is>
          <t>Murray State|Oklahoma State</t>
        </is>
      </c>
    </row>
    <row r="231">
      <c r="A231" t="inlineStr">
        <is>
          <t>Sat Sep 19  7:00 PM ET</t>
        </is>
      </c>
      <c r="B231" t="n">
        <v>3</v>
      </c>
      <c r="C231" t="inlineStr">
        <is>
          <t>Western Michigan</t>
        </is>
      </c>
      <c r="D231" t="inlineStr">
        <is>
          <t>Rice</t>
        </is>
      </c>
      <c r="E231" t="inlineStr">
        <is>
          <t>Rice Stadium</t>
        </is>
      </c>
      <c r="F231" t="inlineStr">
        <is>
          <t>28-21</t>
        </is>
      </c>
      <c r="G231" t="inlineStr">
        <is>
          <t>Rice|Western Michigan</t>
        </is>
      </c>
    </row>
    <row r="232">
      <c r="A232" t="inlineStr">
        <is>
          <t>Sat Sep 19  7:00 PM ET</t>
        </is>
      </c>
      <c r="B232" t="n">
        <v>3</v>
      </c>
      <c r="C232" t="inlineStr">
        <is>
          <t>Ohio</t>
        </is>
      </c>
      <c r="D232" t="inlineStr">
        <is>
          <t>South Alabama</t>
        </is>
      </c>
      <c r="E232" t="inlineStr">
        <is>
          <t>Hancock Whitney Stadium</t>
        </is>
      </c>
      <c r="F232" t="inlineStr">
        <is>
          <t>36-41</t>
        </is>
      </c>
      <c r="G232" t="inlineStr">
        <is>
          <t>Ohio|South Alabama</t>
        </is>
      </c>
    </row>
    <row r="233">
      <c r="A233" t="inlineStr">
        <is>
          <t>Sat Sep 19  7:00 PM ET</t>
        </is>
      </c>
      <c r="B233" t="n">
        <v>3</v>
      </c>
      <c r="C233" t="inlineStr">
        <is>
          <t>Georgia State</t>
        </is>
      </c>
      <c r="D233" t="inlineStr">
        <is>
          <t>UCF</t>
        </is>
      </c>
      <c r="E233" t="inlineStr">
        <is>
          <t>FBC Mortgage Stadium</t>
        </is>
      </c>
      <c r="F233" t="inlineStr">
        <is>
          <t>30-44</t>
        </is>
      </c>
      <c r="G233" t="inlineStr">
        <is>
          <t>Georgia State|UCF</t>
        </is>
      </c>
    </row>
    <row r="234">
      <c r="A234" t="inlineStr">
        <is>
          <t>Sat Sep 19  7:00 PM ET</t>
        </is>
      </c>
      <c r="B234" t="n">
        <v>3</v>
      </c>
      <c r="C234" t="inlineStr">
        <is>
          <t>Nicholls</t>
        </is>
      </c>
      <c r="D234" t="inlineStr">
        <is>
          <t>Sam Houston</t>
        </is>
      </c>
      <c r="E234" t="inlineStr">
        <is>
          <t>Elliott T. Bowers Stadium</t>
        </is>
      </c>
      <c r="F234" t="inlineStr">
        <is>
          <t>0-59</t>
        </is>
      </c>
      <c r="G234" t="inlineStr">
        <is>
          <t>Nicholls|Sam Houston</t>
        </is>
      </c>
    </row>
    <row r="235">
      <c r="A235" t="inlineStr">
        <is>
          <t>Sat Sep 19  7:00 PM ET</t>
        </is>
      </c>
      <c r="B235" t="n">
        <v>3</v>
      </c>
      <c r="C235" t="inlineStr">
        <is>
          <t>Georgia Southern</t>
        </is>
      </c>
      <c r="D235" t="inlineStr">
        <is>
          <t>Jacksonville State</t>
        </is>
      </c>
      <c r="E235" t="inlineStr">
        <is>
          <t>AmFirst Stadium</t>
        </is>
      </c>
      <c r="F235" t="inlineStr">
        <is>
          <t>27-31</t>
        </is>
      </c>
      <c r="G235" t="inlineStr">
        <is>
          <t>Georgia Southern|Jacksonville State</t>
        </is>
      </c>
    </row>
    <row r="236">
      <c r="A236" t="inlineStr">
        <is>
          <t>Sat Sep 19  7:00 PM ET</t>
        </is>
      </c>
      <c r="B236" t="n">
        <v>3</v>
      </c>
      <c r="C236" t="inlineStr">
        <is>
          <t>Delaware State</t>
        </is>
      </c>
      <c r="D236" t="inlineStr">
        <is>
          <t>South Florida</t>
        </is>
      </c>
      <c r="E236" t="inlineStr">
        <is>
          <t>Raymond James Stadium</t>
        </is>
      </c>
      <c r="F236" t="inlineStr">
        <is>
          <t>17-59</t>
        </is>
      </c>
      <c r="G236" t="inlineStr">
        <is>
          <t>Delaware State|South Florida</t>
        </is>
      </c>
    </row>
    <row r="237">
      <c r="A237" t="inlineStr">
        <is>
          <t>Sat Sep 19  7:00 PM ET</t>
        </is>
      </c>
      <c r="B237" t="n">
        <v>3</v>
      </c>
      <c r="C237" t="inlineStr">
        <is>
          <t>Troy</t>
        </is>
      </c>
      <c r="D237" t="inlineStr">
        <is>
          <t>Missouri</t>
        </is>
      </c>
      <c r="E237" t="inlineStr">
        <is>
          <t>Memorial Stadium</t>
        </is>
      </c>
      <c r="F237" t="inlineStr">
        <is>
          <t>17-27</t>
        </is>
      </c>
      <c r="G237" t="inlineStr">
        <is>
          <t>Missouri|Troy</t>
        </is>
      </c>
    </row>
    <row r="238">
      <c r="A238" t="inlineStr">
        <is>
          <t>Sat Sep 19  7:00 PM ET</t>
        </is>
      </c>
      <c r="B238" t="n">
        <v>3</v>
      </c>
      <c r="C238" t="inlineStr">
        <is>
          <t>Nevada</t>
        </is>
      </c>
      <c r="D238" t="inlineStr">
        <is>
          <t>Middle Tennessee</t>
        </is>
      </c>
      <c r="E238" t="inlineStr">
        <is>
          <t>Johnny "Red" Floyd Stadium</t>
        </is>
      </c>
      <c r="F238" t="inlineStr">
        <is>
          <t>20-27</t>
        </is>
      </c>
      <c r="G238" t="inlineStr">
        <is>
          <t>Middle Tennessee|Nevada</t>
        </is>
      </c>
    </row>
    <row r="239">
      <c r="A239" t="inlineStr">
        <is>
          <t>Sat Sep 19  7:00 PM ET</t>
        </is>
      </c>
      <c r="B239" t="n">
        <v>3</v>
      </c>
      <c r="C239" t="inlineStr">
        <is>
          <t>UConn</t>
        </is>
      </c>
      <c r="D239" t="inlineStr">
        <is>
          <t>Southern Miss</t>
        </is>
      </c>
      <c r="E239" t="inlineStr">
        <is>
          <t>M. M. Roberts Stadium</t>
        </is>
      </c>
      <c r="F239" t="inlineStr">
        <is>
          <t>48-20</t>
        </is>
      </c>
      <c r="G239" t="inlineStr">
        <is>
          <t>Southern Miss|UConn</t>
        </is>
      </c>
    </row>
    <row r="240">
      <c r="A240" t="inlineStr">
        <is>
          <t>Sat Sep 19  7:00 PM ET</t>
        </is>
      </c>
      <c r="B240" t="n">
        <v>3</v>
      </c>
      <c r="C240" t="inlineStr">
        <is>
          <t>Florida</t>
        </is>
      </c>
      <c r="D240" t="inlineStr">
        <is>
          <t>Auburn</t>
        </is>
      </c>
      <c r="E240" t="inlineStr">
        <is>
          <t>Jordan-Hare Stadium</t>
        </is>
      </c>
      <c r="F240" t="inlineStr">
        <is>
          <t>44-39</t>
        </is>
      </c>
      <c r="G240" t="inlineStr">
        <is>
          <t>Auburn|Florida</t>
        </is>
      </c>
    </row>
    <row r="241">
      <c r="A241" t="inlineStr">
        <is>
          <t>Sat Sep 19  7:15 PM ET</t>
        </is>
      </c>
      <c r="B241" t="n">
        <v>3</v>
      </c>
      <c r="C241" t="inlineStr">
        <is>
          <t>North Dakota</t>
        </is>
      </c>
      <c r="D241" t="inlineStr">
        <is>
          <t>Nebraska</t>
        </is>
      </c>
      <c r="E241" t="inlineStr">
        <is>
          <t>Memorial Stadium (Lincoln, NE)</t>
        </is>
      </c>
      <c r="F241" t="inlineStr">
        <is>
          <t>7-34</t>
        </is>
      </c>
      <c r="G241" t="inlineStr">
        <is>
          <t>Nebraska|North Dakota</t>
        </is>
      </c>
    </row>
    <row r="242">
      <c r="A242" t="inlineStr">
        <is>
          <t>Sat Sep 19  7:15 PM ET</t>
        </is>
      </c>
      <c r="B242" t="n">
        <v>3</v>
      </c>
      <c r="C242" t="inlineStr">
        <is>
          <t>Eastern Washington</t>
        </is>
      </c>
      <c r="D242" t="inlineStr">
        <is>
          <t>Washington</t>
        </is>
      </c>
      <c r="E242" t="inlineStr">
        <is>
          <t>Husky Stadium</t>
        </is>
      </c>
      <c r="F242" t="inlineStr">
        <is>
          <t>16-48</t>
        </is>
      </c>
      <c r="G242" t="inlineStr">
        <is>
          <t>Eastern Washington|Washington</t>
        </is>
      </c>
    </row>
    <row r="243">
      <c r="A243" t="inlineStr">
        <is>
          <t>Sat Sep 19  7:30 PM ET</t>
        </is>
      </c>
      <c r="B243" t="n">
        <v>3</v>
      </c>
      <c r="C243" t="inlineStr">
        <is>
          <t>West Virginia</t>
        </is>
      </c>
      <c r="D243" t="inlineStr">
        <is>
          <t>Virginia</t>
        </is>
      </c>
      <c r="E243" t="inlineStr">
        <is>
          <t>Neutral site</t>
        </is>
      </c>
      <c r="F243" t="inlineStr">
        <is>
          <t>38-27</t>
        </is>
      </c>
      <c r="G243" t="inlineStr">
        <is>
          <t>Virginia|West Virginia</t>
        </is>
      </c>
    </row>
    <row r="244">
      <c r="A244" t="inlineStr">
        <is>
          <t>Sat Sep 19  7:30 PM ET</t>
        </is>
      </c>
      <c r="B244" t="n">
        <v>3</v>
      </c>
      <c r="C244" t="inlineStr">
        <is>
          <t>BYU</t>
        </is>
      </c>
      <c r="D244" t="inlineStr">
        <is>
          <t>Colorado State</t>
        </is>
      </c>
      <c r="E244" t="inlineStr">
        <is>
          <t>Canvas Stadium</t>
        </is>
      </c>
      <c r="F244" t="inlineStr">
        <is>
          <t>41-23</t>
        </is>
      </c>
      <c r="G244" t="inlineStr">
        <is>
          <t>BYU|Colorado State</t>
        </is>
      </c>
    </row>
    <row r="245">
      <c r="A245" t="inlineStr">
        <is>
          <t>Sat Sep 19  7:30 PM ET</t>
        </is>
      </c>
      <c r="B245" t="n">
        <v>3</v>
      </c>
      <c r="C245" t="inlineStr">
        <is>
          <t>Michigan State</t>
        </is>
      </c>
      <c r="D245" t="inlineStr">
        <is>
          <t>Notre Dame</t>
        </is>
      </c>
      <c r="E245" t="inlineStr">
        <is>
          <t>Notre Dame Stadium</t>
        </is>
      </c>
      <c r="F245" t="inlineStr">
        <is>
          <t>10-27</t>
        </is>
      </c>
      <c r="G245" t="inlineStr">
        <is>
          <t>Michigan State|Notre Dame</t>
        </is>
      </c>
    </row>
    <row r="246">
      <c r="A246" t="inlineStr">
        <is>
          <t>Sat Sep 19  7:30 PM ET</t>
        </is>
      </c>
      <c r="B246" t="n">
        <v>3</v>
      </c>
      <c r="C246" t="inlineStr">
        <is>
          <t>New Mexico</t>
        </is>
      </c>
      <c r="D246" t="inlineStr">
        <is>
          <t>Oklahoma</t>
        </is>
      </c>
      <c r="E246" t="inlineStr">
        <is>
          <t>Memorial Stadium (Norman, OK)</t>
        </is>
      </c>
      <c r="F246" t="inlineStr">
        <is>
          <t>6-14</t>
        </is>
      </c>
      <c r="G246" t="inlineStr">
        <is>
          <t>New Mexico|Oklahoma</t>
        </is>
      </c>
    </row>
    <row r="247">
      <c r="A247" t="inlineStr">
        <is>
          <t>Sat Sep 19  7:30 PM ET</t>
        </is>
      </c>
      <c r="B247" t="n">
        <v>3</v>
      </c>
      <c r="C247" t="inlineStr">
        <is>
          <t>LSU</t>
        </is>
      </c>
      <c r="D247" t="inlineStr">
        <is>
          <t>Ole Miss</t>
        </is>
      </c>
      <c r="E247" t="inlineStr">
        <is>
          <t>Vaught-Hemingway Stadium</t>
        </is>
      </c>
      <c r="F247" t="inlineStr">
        <is>
          <t>24-32</t>
        </is>
      </c>
      <c r="G247" t="inlineStr">
        <is>
          <t>LSU|Ole Miss</t>
        </is>
      </c>
    </row>
    <row r="248">
      <c r="A248" t="inlineStr">
        <is>
          <t>Sat Sep 19  7:30 PM ET</t>
        </is>
      </c>
      <c r="B248" t="n">
        <v>3</v>
      </c>
      <c r="C248" t="inlineStr">
        <is>
          <t>Virginia Tech</t>
        </is>
      </c>
      <c r="D248" t="inlineStr">
        <is>
          <t>Maryland</t>
        </is>
      </c>
      <c r="E248" t="inlineStr">
        <is>
          <t>SECU Stadium</t>
        </is>
      </c>
      <c r="F248" t="inlineStr">
        <is>
          <t>35-26</t>
        </is>
      </c>
      <c r="G248" t="inlineStr">
        <is>
          <t>Maryland|Virginia Tech</t>
        </is>
      </c>
    </row>
    <row r="249">
      <c r="A249" t="inlineStr">
        <is>
          <t>Sat Sep 19  7:30 PM ET</t>
        </is>
      </c>
      <c r="B249" t="n">
        <v>3</v>
      </c>
      <c r="C249" t="inlineStr">
        <is>
          <t>Colorado</t>
        </is>
      </c>
      <c r="D249" t="inlineStr">
        <is>
          <t>Northwestern</t>
        </is>
      </c>
      <c r="E249" t="inlineStr">
        <is>
          <t>Lanny and Sharon Martin Stadium</t>
        </is>
      </c>
      <c r="F249" t="inlineStr">
        <is>
          <t>7-41</t>
        </is>
      </c>
      <c r="G249" t="inlineStr">
        <is>
          <t>Colorado|Northwestern</t>
        </is>
      </c>
    </row>
    <row r="250">
      <c r="A250" t="inlineStr">
        <is>
          <t>Sat Sep 19  7:45 PM ET</t>
        </is>
      </c>
      <c r="B250" t="n">
        <v>3</v>
      </c>
      <c r="C250" t="inlineStr">
        <is>
          <t>Kennesaw State</t>
        </is>
      </c>
      <c r="D250" t="inlineStr">
        <is>
          <t>Tennessee</t>
        </is>
      </c>
      <c r="E250" t="inlineStr">
        <is>
          <t>Neyland Stadium</t>
        </is>
      </c>
      <c r="F250" t="inlineStr">
        <is>
          <t>9-42</t>
        </is>
      </c>
      <c r="G250" t="inlineStr">
        <is>
          <t>Kennesaw State|Tennessee</t>
        </is>
      </c>
    </row>
    <row r="251">
      <c r="A251" t="inlineStr">
        <is>
          <t>Sat Sep 19  8:00 PM ET</t>
        </is>
      </c>
      <c r="B251" t="n">
        <v>3</v>
      </c>
      <c r="C251" t="inlineStr">
        <is>
          <t>UTSA</t>
        </is>
      </c>
      <c r="D251" t="inlineStr">
        <is>
          <t>Texas</t>
        </is>
      </c>
      <c r="E251" t="inlineStr">
        <is>
          <t>DKR-Texas Memorial Stadium</t>
        </is>
      </c>
      <c r="F251" t="inlineStr">
        <is>
          <t>6-30</t>
        </is>
      </c>
      <c r="G251" t="inlineStr">
        <is>
          <t>Texas|UTSA</t>
        </is>
      </c>
    </row>
    <row r="252">
      <c r="A252" t="inlineStr">
        <is>
          <t>Sat Sep 19  8:00 PM ET</t>
        </is>
      </c>
      <c r="B252" t="n">
        <v>3</v>
      </c>
      <c r="C252" t="inlineStr">
        <is>
          <t>UAB</t>
        </is>
      </c>
      <c r="D252" t="inlineStr">
        <is>
          <t>Louisiana</t>
        </is>
      </c>
      <c r="E252" t="inlineStr">
        <is>
          <t>Cajun Field</t>
        </is>
      </c>
      <c r="F252" t="inlineStr">
        <is>
          <t>14-21</t>
        </is>
      </c>
      <c r="G252" t="inlineStr">
        <is>
          <t>Louisiana|UAB</t>
        </is>
      </c>
    </row>
    <row r="253">
      <c r="A253" t="inlineStr">
        <is>
          <t>Sat Sep 19  8:00 PM ET</t>
        </is>
      </c>
      <c r="B253" t="n">
        <v>3</v>
      </c>
      <c r="C253" t="inlineStr">
        <is>
          <t>Arkansas State</t>
        </is>
      </c>
      <c r="D253" t="inlineStr">
        <is>
          <t>TCU</t>
        </is>
      </c>
      <c r="E253" t="inlineStr">
        <is>
          <t>Amon G. Carter Stadium</t>
        </is>
      </c>
      <c r="F253" t="inlineStr">
        <is>
          <t>7-31</t>
        </is>
      </c>
      <c r="G253" t="inlineStr">
        <is>
          <t>Arkansas State|TCU</t>
        </is>
      </c>
    </row>
    <row r="254">
      <c r="A254" t="inlineStr">
        <is>
          <t>Sat Sep 19  8:00 PM ET</t>
        </is>
      </c>
      <c r="B254" t="n">
        <v>3</v>
      </c>
      <c r="C254" t="inlineStr">
        <is>
          <t>East Texas A&amp;M</t>
        </is>
      </c>
      <c r="D254" t="inlineStr">
        <is>
          <t>Tulsa</t>
        </is>
      </c>
      <c r="E254" t="inlineStr">
        <is>
          <t>Chapman Stadium</t>
        </is>
      </c>
      <c r="F254" t="inlineStr">
        <is>
          <t>0-42</t>
        </is>
      </c>
      <c r="G254" t="inlineStr">
        <is>
          <t>East Texas A&amp;M|Tulsa</t>
        </is>
      </c>
    </row>
    <row r="255">
      <c r="A255" t="inlineStr">
        <is>
          <t>Sat Sep 19  10:00 PM ET</t>
        </is>
      </c>
      <c r="B255" t="n">
        <v>3</v>
      </c>
      <c r="C255" t="inlineStr">
        <is>
          <t>James Madison</t>
        </is>
      </c>
      <c r="D255" t="inlineStr">
        <is>
          <t>San Diego State</t>
        </is>
      </c>
      <c r="E255" t="inlineStr">
        <is>
          <t>Snapdragon Stadium</t>
        </is>
      </c>
      <c r="F255" t="inlineStr">
        <is>
          <t>26-13</t>
        </is>
      </c>
      <c r="G255" t="inlineStr">
        <is>
          <t>James Madison|San Diego State</t>
        </is>
      </c>
    </row>
    <row r="256">
      <c r="A256" t="inlineStr">
        <is>
          <t>Sat Sep 19  10:00 PM ET</t>
        </is>
      </c>
      <c r="B256" t="n">
        <v>3</v>
      </c>
      <c r="C256" t="inlineStr">
        <is>
          <t>South Dakota</t>
        </is>
      </c>
      <c r="D256" t="inlineStr">
        <is>
          <t>Boise State</t>
        </is>
      </c>
      <c r="E256" t="inlineStr">
        <is>
          <t>Albertsons Stadium</t>
        </is>
      </c>
      <c r="F256" t="inlineStr">
        <is>
          <t>24-38</t>
        </is>
      </c>
      <c r="G256" t="inlineStr">
        <is>
          <t>Boise State|South Dakota</t>
        </is>
      </c>
    </row>
    <row r="257">
      <c r="A257" t="inlineStr">
        <is>
          <t>Sat Sep 19  10:30 PM ET</t>
        </is>
      </c>
      <c r="B257" t="n">
        <v>3</v>
      </c>
      <c r="C257" t="inlineStr">
        <is>
          <t>North Dakota State</t>
        </is>
      </c>
      <c r="D257" t="inlineStr">
        <is>
          <t>Sacramento State</t>
        </is>
      </c>
      <c r="E257" t="inlineStr">
        <is>
          <t>Hornet Stadium</t>
        </is>
      </c>
      <c r="F257" t="inlineStr">
        <is>
          <t>31-10</t>
        </is>
      </c>
      <c r="G257" t="inlineStr">
        <is>
          <t>North Dakota State|Sacramento State</t>
        </is>
      </c>
    </row>
    <row r="258">
      <c r="A258" t="inlineStr">
        <is>
          <t>Sat Sep 19  10:30 PM ET</t>
        </is>
      </c>
      <c r="B258" t="n">
        <v>3</v>
      </c>
      <c r="C258" t="inlineStr">
        <is>
          <t>Northern Illinois</t>
        </is>
      </c>
      <c r="D258" t="inlineStr">
        <is>
          <t>Arizona</t>
        </is>
      </c>
      <c r="E258" t="inlineStr">
        <is>
          <t>Arizona Stadium</t>
        </is>
      </c>
      <c r="F258" t="inlineStr">
        <is>
          <t>17-42</t>
        </is>
      </c>
      <c r="G258" t="inlineStr">
        <is>
          <t>Arizona|Northern Illinois</t>
        </is>
      </c>
    </row>
    <row r="259">
      <c r="A259" t="inlineStr">
        <is>
          <t>Sat Sep 19  11:00 PM ET</t>
        </is>
      </c>
      <c r="B259" t="n">
        <v>3</v>
      </c>
      <c r="C259" t="inlineStr">
        <is>
          <t>Montana</t>
        </is>
      </c>
      <c r="D259" t="inlineStr">
        <is>
          <t>Oregon State</t>
        </is>
      </c>
      <c r="E259" t="inlineStr">
        <is>
          <t>Reser Stadium</t>
        </is>
      </c>
      <c r="F259" t="inlineStr">
        <is>
          <t>17-52</t>
        </is>
      </c>
      <c r="G259" t="inlineStr">
        <is>
          <t>Montana|Oregon State</t>
        </is>
      </c>
    </row>
    <row r="260">
      <c r="A260" t="inlineStr">
        <is>
          <t>Sat Sep 19  11:00 PM ET</t>
        </is>
      </c>
      <c r="B260" t="n">
        <v>3</v>
      </c>
      <c r="C260" t="inlineStr">
        <is>
          <t>Fresno State</t>
        </is>
      </c>
      <c r="D260" t="inlineStr">
        <is>
          <t>San Jose State</t>
        </is>
      </c>
      <c r="E260" t="inlineStr">
        <is>
          <t>CEFCU Stadium</t>
        </is>
      </c>
      <c r="F260" t="inlineStr">
        <is>
          <t>26-10</t>
        </is>
      </c>
      <c r="G260" t="inlineStr">
        <is>
          <t>Fresno State|San Jose State</t>
        </is>
      </c>
    </row>
    <row r="261">
      <c r="A261" t="inlineStr">
        <is>
          <t>Sat Sep 19  11:00 PM ET</t>
        </is>
      </c>
      <c r="B261" t="n">
        <v>3</v>
      </c>
      <c r="C261" t="inlineStr">
        <is>
          <t>Purdue</t>
        </is>
      </c>
      <c r="D261" t="inlineStr">
        <is>
          <t>UCLA</t>
        </is>
      </c>
      <c r="E261" t="inlineStr">
        <is>
          <t>Rose Bowl</t>
        </is>
      </c>
      <c r="F261" t="inlineStr">
        <is>
          <t>38-52</t>
        </is>
      </c>
      <c r="G261" t="inlineStr">
        <is>
          <t>Purdue|UCLA</t>
        </is>
      </c>
    </row>
    <row r="262">
      <c r="A262" t="inlineStr">
        <is>
          <t>Thu Sep 24  7:30 PM ET</t>
        </is>
      </c>
      <c r="B262" t="n">
        <v>4</v>
      </c>
      <c r="C262" t="inlineStr">
        <is>
          <t>Liberty</t>
        </is>
      </c>
      <c r="D262" t="inlineStr">
        <is>
          <t>Coastal Carolina</t>
        </is>
      </c>
      <c r="E262" t="inlineStr">
        <is>
          <t>Brooks Stadium (SC)</t>
        </is>
      </c>
      <c r="F262" t="inlineStr"/>
      <c r="G262" t="inlineStr">
        <is>
          <t>Coastal Carolina|Liberty</t>
        </is>
      </c>
    </row>
    <row r="263">
      <c r="A263" t="inlineStr">
        <is>
          <t>Fri Sep 25  4:00 PM ET</t>
        </is>
      </c>
      <c r="B263" t="n">
        <v>4</v>
      </c>
      <c r="C263" t="inlineStr">
        <is>
          <t>Army</t>
        </is>
      </c>
      <c r="D263" t="inlineStr">
        <is>
          <t>Temple</t>
        </is>
      </c>
      <c r="E263" t="inlineStr">
        <is>
          <t>Lincoln Financial Field</t>
        </is>
      </c>
      <c r="F263" t="inlineStr"/>
      <c r="G263" t="inlineStr">
        <is>
          <t>Army|Temple</t>
        </is>
      </c>
    </row>
    <row r="264">
      <c r="A264" t="inlineStr">
        <is>
          <t>Fri Sep 25  7:00 PM ET</t>
        </is>
      </c>
      <c r="B264" t="n">
        <v>4</v>
      </c>
      <c r="C264" t="inlineStr">
        <is>
          <t>Navy</t>
        </is>
      </c>
      <c r="D264" t="inlineStr">
        <is>
          <t>UAB</t>
        </is>
      </c>
      <c r="E264" t="inlineStr">
        <is>
          <t>Protective Stadium</t>
        </is>
      </c>
      <c r="F264" t="inlineStr"/>
      <c r="G264" t="inlineStr">
        <is>
          <t>Navy|UAB</t>
        </is>
      </c>
    </row>
    <row r="265">
      <c r="A265" t="inlineStr">
        <is>
          <t>Fri Sep 25  7:00 PM ET</t>
        </is>
      </c>
      <c r="B265" t="n">
        <v>4</v>
      </c>
      <c r="C265" t="inlineStr">
        <is>
          <t>Howard</t>
        </is>
      </c>
      <c r="D265" t="inlineStr">
        <is>
          <t>Rutgers</t>
        </is>
      </c>
      <c r="E265" t="inlineStr">
        <is>
          <t>SHI Stadium</t>
        </is>
      </c>
      <c r="F265" t="inlineStr"/>
      <c r="G265" t="inlineStr">
        <is>
          <t>Howard|Rutgers</t>
        </is>
      </c>
    </row>
    <row r="266">
      <c r="A266" t="inlineStr">
        <is>
          <t>Fri Sep 25  8:00 PM ET</t>
        </is>
      </c>
      <c r="B266" t="n">
        <v>4</v>
      </c>
      <c r="C266" t="inlineStr">
        <is>
          <t>Northwestern</t>
        </is>
      </c>
      <c r="D266" t="inlineStr">
        <is>
          <t>Indiana</t>
        </is>
      </c>
      <c r="E266" t="inlineStr">
        <is>
          <t>Memorial Stadium (Bloomington, IN)</t>
        </is>
      </c>
      <c r="F266" t="inlineStr"/>
      <c r="G266" t="inlineStr">
        <is>
          <t>Indiana|Northwestern</t>
        </is>
      </c>
    </row>
    <row r="267">
      <c r="A267" t="inlineStr">
        <is>
          <t>Fri Sep 25  10:30 PM ET</t>
        </is>
      </c>
      <c r="B267" t="n">
        <v>4</v>
      </c>
      <c r="C267" t="inlineStr">
        <is>
          <t>Clemson</t>
        </is>
      </c>
      <c r="D267" t="inlineStr">
        <is>
          <t>California</t>
        </is>
      </c>
      <c r="E267" t="inlineStr">
        <is>
          <t>California Memorial Stadium</t>
        </is>
      </c>
      <c r="F267" t="inlineStr"/>
      <c r="G267" t="inlineStr">
        <is>
          <t>California|Clemson</t>
        </is>
      </c>
    </row>
    <row r="268">
      <c r="A268" t="inlineStr">
        <is>
          <t>Sat Sep 26  12:00 PM ET</t>
        </is>
      </c>
      <c r="B268" t="n">
        <v>4</v>
      </c>
      <c r="C268" t="inlineStr">
        <is>
          <t>Wake Forest</t>
        </is>
      </c>
      <c r="D268" t="inlineStr">
        <is>
          <t>Louisville</t>
        </is>
      </c>
      <c r="E268" t="inlineStr">
        <is>
          <t>L&amp;N Federal Credit Union Stadium</t>
        </is>
      </c>
      <c r="F268" t="inlineStr"/>
      <c r="G268" t="inlineStr">
        <is>
          <t>Louisville|Wake Forest</t>
        </is>
      </c>
    </row>
    <row r="269">
      <c r="A269" t="inlineStr">
        <is>
          <t>Sat Sep 26  12:00 PM ET</t>
        </is>
      </c>
      <c r="B269" t="n">
        <v>4</v>
      </c>
      <c r="C269" t="inlineStr">
        <is>
          <t>Colorado State</t>
        </is>
      </c>
      <c r="D269" t="inlineStr">
        <is>
          <t>UTSA</t>
        </is>
      </c>
      <c r="E269" t="inlineStr">
        <is>
          <t>Alamodome</t>
        </is>
      </c>
      <c r="F269" t="inlineStr"/>
      <c r="G269" t="inlineStr">
        <is>
          <t>Colorado State|UTSA</t>
        </is>
      </c>
    </row>
    <row r="270">
      <c r="A270" t="inlineStr">
        <is>
          <t>Sat Sep 26  12:00 PM ET</t>
        </is>
      </c>
      <c r="B270" t="n">
        <v>4</v>
      </c>
      <c r="C270" t="inlineStr">
        <is>
          <t>San Diego State</t>
        </is>
      </c>
      <c r="D270" t="inlineStr">
        <is>
          <t>Toledo</t>
        </is>
      </c>
      <c r="E270" t="inlineStr">
        <is>
          <t>Glass Bowl</t>
        </is>
      </c>
      <c r="F270" t="inlineStr"/>
      <c r="G270" t="inlineStr">
        <is>
          <t>San Diego State|Toledo</t>
        </is>
      </c>
    </row>
    <row r="271">
      <c r="A271" t="inlineStr">
        <is>
          <t>Sat Sep 26  12:00 PM ET</t>
        </is>
      </c>
      <c r="B271" t="n">
        <v>4</v>
      </c>
      <c r="C271" t="inlineStr">
        <is>
          <t>Bucknell</t>
        </is>
      </c>
      <c r="D271" t="inlineStr">
        <is>
          <t>Pittsburgh</t>
        </is>
      </c>
      <c r="E271" t="inlineStr">
        <is>
          <t>Acrisure Stadium</t>
        </is>
      </c>
      <c r="F271" t="inlineStr"/>
      <c r="G271" t="inlineStr">
        <is>
          <t>Bucknell|Pittsburgh</t>
        </is>
      </c>
    </row>
    <row r="272">
      <c r="A272" t="inlineStr">
        <is>
          <t>Sat Sep 26  12:00 PM ET</t>
        </is>
      </c>
      <c r="B272" t="n">
        <v>4</v>
      </c>
      <c r="C272" t="inlineStr">
        <is>
          <t>Texas</t>
        </is>
      </c>
      <c r="D272" t="inlineStr">
        <is>
          <t>Tennessee</t>
        </is>
      </c>
      <c r="E272" t="inlineStr">
        <is>
          <t>Neyland Stadium</t>
        </is>
      </c>
      <c r="F272" t="inlineStr"/>
      <c r="G272" t="inlineStr">
        <is>
          <t>Tennessee|Texas</t>
        </is>
      </c>
    </row>
    <row r="273">
      <c r="A273" t="inlineStr">
        <is>
          <t>Sat Sep 26  12:00 PM ET</t>
        </is>
      </c>
      <c r="B273" t="n">
        <v>4</v>
      </c>
      <c r="C273" t="inlineStr">
        <is>
          <t>Ball State</t>
        </is>
      </c>
      <c r="D273" t="inlineStr">
        <is>
          <t>Kent State</t>
        </is>
      </c>
      <c r="E273" t="inlineStr">
        <is>
          <t>Dix Stadium</t>
        </is>
      </c>
      <c r="F273" t="inlineStr"/>
      <c r="G273" t="inlineStr">
        <is>
          <t>Ball State|Kent State</t>
        </is>
      </c>
    </row>
    <row r="274">
      <c r="A274" t="inlineStr">
        <is>
          <t>Sat Sep 26  12:00 PM ET</t>
        </is>
      </c>
      <c r="B274" t="n">
        <v>4</v>
      </c>
      <c r="C274" t="inlineStr">
        <is>
          <t>UNLV</t>
        </is>
      </c>
      <c r="D274" t="inlineStr">
        <is>
          <t>Akron</t>
        </is>
      </c>
      <c r="E274" t="inlineStr">
        <is>
          <t>InfoCision Stadium</t>
        </is>
      </c>
      <c r="F274" t="inlineStr"/>
      <c r="G274" t="inlineStr">
        <is>
          <t>Akron|UNLV</t>
        </is>
      </c>
    </row>
    <row r="275">
      <c r="A275" t="inlineStr">
        <is>
          <t>Sat Sep 26  12:00 PM ET</t>
        </is>
      </c>
      <c r="B275" t="n">
        <v>4</v>
      </c>
      <c r="C275" t="inlineStr">
        <is>
          <t>Illinois</t>
        </is>
      </c>
      <c r="D275" t="inlineStr">
        <is>
          <t>Ohio State</t>
        </is>
      </c>
      <c r="E275" t="inlineStr">
        <is>
          <t>Ohio Stadium</t>
        </is>
      </c>
      <c r="F275" t="inlineStr"/>
      <c r="G275" t="inlineStr">
        <is>
          <t>Illinois|Ohio State</t>
        </is>
      </c>
    </row>
    <row r="276">
      <c r="A276" t="inlineStr">
        <is>
          <t>Sat Sep 26  12:00 PM ET</t>
        </is>
      </c>
      <c r="B276" t="n">
        <v>4</v>
      </c>
      <c r="C276" t="inlineStr">
        <is>
          <t>Virginia Tech</t>
        </is>
      </c>
      <c r="D276" t="inlineStr">
        <is>
          <t>Boston College</t>
        </is>
      </c>
      <c r="E276" t="inlineStr">
        <is>
          <t>Alumni Stadium (Chestnut Hill, MA)</t>
        </is>
      </c>
      <c r="F276" t="inlineStr"/>
      <c r="G276" t="inlineStr">
        <is>
          <t>Boston College|Virginia Tech</t>
        </is>
      </c>
    </row>
    <row r="277">
      <c r="A277" t="inlineStr">
        <is>
          <t>Sat Sep 26  12:00 PM ET</t>
        </is>
      </c>
      <c r="B277" t="n">
        <v>4</v>
      </c>
      <c r="C277" t="inlineStr">
        <is>
          <t>Colorado</t>
        </is>
      </c>
      <c r="D277" t="inlineStr">
        <is>
          <t>Baylor</t>
        </is>
      </c>
      <c r="E277" t="inlineStr">
        <is>
          <t>McLane Stadium</t>
        </is>
      </c>
      <c r="F277" t="inlineStr"/>
      <c r="G277" t="inlineStr">
        <is>
          <t>Baylor|Colorado</t>
        </is>
      </c>
    </row>
    <row r="278">
      <c r="A278" t="inlineStr">
        <is>
          <t>Sat Sep 26  12:00 PM ET</t>
        </is>
      </c>
      <c r="B278" t="n">
        <v>4</v>
      </c>
      <c r="C278" t="inlineStr">
        <is>
          <t>Sam Houston</t>
        </is>
      </c>
      <c r="D278" t="inlineStr">
        <is>
          <t>Texas Tech</t>
        </is>
      </c>
      <c r="E278" t="inlineStr">
        <is>
          <t>Jones AT&amp;T Stadium</t>
        </is>
      </c>
      <c r="F278" t="inlineStr"/>
      <c r="G278" t="inlineStr">
        <is>
          <t>Sam Houston|Texas Tech</t>
        </is>
      </c>
    </row>
    <row r="279">
      <c r="A279" t="inlineStr">
        <is>
          <t>Sat Sep 26  12:45 PM ET</t>
        </is>
      </c>
      <c r="B279" t="n">
        <v>4</v>
      </c>
      <c r="C279" t="inlineStr">
        <is>
          <t>South Alabama</t>
        </is>
      </c>
      <c r="D279" t="inlineStr">
        <is>
          <t>Kentucky</t>
        </is>
      </c>
      <c r="E279" t="inlineStr">
        <is>
          <t>Kroger Field</t>
        </is>
      </c>
      <c r="F279" t="inlineStr"/>
      <c r="G279" t="inlineStr">
        <is>
          <t>Kentucky|South Alabama</t>
        </is>
      </c>
    </row>
    <row r="280">
      <c r="A280" t="inlineStr">
        <is>
          <t>Sat Sep 26  1:00 PM ET</t>
        </is>
      </c>
      <c r="B280" t="n">
        <v>4</v>
      </c>
      <c r="C280" t="inlineStr">
        <is>
          <t>Lindenwood</t>
        </is>
      </c>
      <c r="D280" t="inlineStr">
        <is>
          <t>Eastern Michigan</t>
        </is>
      </c>
      <c r="E280" t="inlineStr">
        <is>
          <t>Rynearson Stadium</t>
        </is>
      </c>
      <c r="F280" t="inlineStr"/>
      <c r="G280" t="inlineStr">
        <is>
          <t>Eastern Michigan|Lindenwood</t>
        </is>
      </c>
    </row>
    <row r="281">
      <c r="A281" t="inlineStr">
        <is>
          <t>Sat Sep 26  1:30 PM ET</t>
        </is>
      </c>
      <c r="B281" t="n">
        <v>4</v>
      </c>
      <c r="C281" t="inlineStr">
        <is>
          <t>UCLA</t>
        </is>
      </c>
      <c r="D281" t="inlineStr">
        <is>
          <t>Maryland</t>
        </is>
      </c>
      <c r="E281" t="inlineStr">
        <is>
          <t>SECU Stadium</t>
        </is>
      </c>
      <c r="F281" t="inlineStr"/>
      <c r="G281" t="inlineStr">
        <is>
          <t>Maryland|UCLA</t>
        </is>
      </c>
    </row>
    <row r="282">
      <c r="A282" t="inlineStr">
        <is>
          <t>Sat Sep 26  2:00 PM ET</t>
        </is>
      </c>
      <c r="B282" t="n">
        <v>4</v>
      </c>
      <c r="C282" t="inlineStr">
        <is>
          <t>Notre Dame</t>
        </is>
      </c>
      <c r="D282" t="inlineStr">
        <is>
          <t>Purdue</t>
        </is>
      </c>
      <c r="E282" t="inlineStr">
        <is>
          <t>Ross-Ade Stadium</t>
        </is>
      </c>
      <c r="F282" t="inlineStr"/>
      <c r="G282" t="inlineStr">
        <is>
          <t>Notre Dame|Purdue</t>
        </is>
      </c>
    </row>
    <row r="283">
      <c r="A283" t="inlineStr">
        <is>
          <t>Sat Sep 26  2:00 PM ET</t>
        </is>
      </c>
      <c r="B283" t="n">
        <v>4</v>
      </c>
      <c r="C283" t="inlineStr">
        <is>
          <t>Northern Illinois</t>
        </is>
      </c>
      <c r="D283" t="inlineStr">
        <is>
          <t>Georgia State</t>
        </is>
      </c>
      <c r="E283" t="inlineStr">
        <is>
          <t>Center Parc Stadium</t>
        </is>
      </c>
      <c r="F283" t="inlineStr"/>
      <c r="G283" t="inlineStr">
        <is>
          <t>Georgia State|Northern Illinois</t>
        </is>
      </c>
    </row>
    <row r="284">
      <c r="A284" t="inlineStr">
        <is>
          <t>Sat Sep 26  3:00 PM ET</t>
        </is>
      </c>
      <c r="B284" t="n">
        <v>4</v>
      </c>
      <c r="C284" t="inlineStr">
        <is>
          <t>Central Arkansas</t>
        </is>
      </c>
      <c r="D284" t="inlineStr">
        <is>
          <t>Florida State</t>
        </is>
      </c>
      <c r="E284" t="inlineStr">
        <is>
          <t>Doak Campbell Stadium</t>
        </is>
      </c>
      <c r="F284" t="inlineStr"/>
      <c r="G284" t="inlineStr">
        <is>
          <t>Central Arkansas|Florida State</t>
        </is>
      </c>
    </row>
    <row r="285">
      <c r="A285" t="inlineStr">
        <is>
          <t>Sat Sep 26  3:00 PM ET</t>
        </is>
      </c>
      <c r="B285" t="n">
        <v>4</v>
      </c>
      <c r="C285" t="inlineStr">
        <is>
          <t>Hawaii</t>
        </is>
      </c>
      <c r="D285" t="inlineStr">
        <is>
          <t>Wyoming</t>
        </is>
      </c>
      <c r="E285" t="inlineStr">
        <is>
          <t>War Memorial Stadium</t>
        </is>
      </c>
      <c r="F285" t="inlineStr"/>
      <c r="G285" t="inlineStr">
        <is>
          <t>Hawaii|Wyoming</t>
        </is>
      </c>
    </row>
    <row r="286">
      <c r="A286" t="inlineStr">
        <is>
          <t>Sat Sep 26  3:30 PM ET</t>
        </is>
      </c>
      <c r="B286" t="n">
        <v>4</v>
      </c>
      <c r="C286" t="inlineStr">
        <is>
          <t>Oklahoma</t>
        </is>
      </c>
      <c r="D286" t="inlineStr">
        <is>
          <t>Georgia</t>
        </is>
      </c>
      <c r="E286" t="inlineStr">
        <is>
          <t>Sanford Stadium</t>
        </is>
      </c>
      <c r="F286" t="inlineStr"/>
      <c r="G286" t="inlineStr">
        <is>
          <t>Georgia|Oklahoma</t>
        </is>
      </c>
    </row>
    <row r="287">
      <c r="A287" t="inlineStr">
        <is>
          <t>Sat Sep 26  3:30 PM ET</t>
        </is>
      </c>
      <c r="B287" t="n">
        <v>4</v>
      </c>
      <c r="C287" t="inlineStr">
        <is>
          <t>New Mexico</t>
        </is>
      </c>
      <c r="D287" t="inlineStr">
        <is>
          <t>New Mexico State</t>
        </is>
      </c>
      <c r="E287" t="inlineStr">
        <is>
          <t>Aggie Memorial Stadium</t>
        </is>
      </c>
      <c r="F287" t="inlineStr"/>
      <c r="G287" t="inlineStr">
        <is>
          <t>New Mexico|New Mexico State</t>
        </is>
      </c>
    </row>
    <row r="288">
      <c r="A288" t="inlineStr">
        <is>
          <t>Sat Sep 26  3:30 PM ET</t>
        </is>
      </c>
      <c r="B288" t="n">
        <v>4</v>
      </c>
      <c r="C288" t="inlineStr">
        <is>
          <t>Stonehill</t>
        </is>
      </c>
      <c r="D288" t="inlineStr">
        <is>
          <t>Ohio</t>
        </is>
      </c>
      <c r="E288" t="inlineStr">
        <is>
          <t>Peden Stadium</t>
        </is>
      </c>
      <c r="F288" t="inlineStr"/>
      <c r="G288" t="inlineStr">
        <is>
          <t>Ohio|Stonehill</t>
        </is>
      </c>
    </row>
    <row r="289">
      <c r="A289" t="inlineStr">
        <is>
          <t>Sat Sep 26  3:30 PM ET</t>
        </is>
      </c>
      <c r="B289" t="n">
        <v>4</v>
      </c>
      <c r="C289" t="inlineStr">
        <is>
          <t>Gardner-Webb</t>
        </is>
      </c>
      <c r="D289" t="inlineStr">
        <is>
          <t>Marshall</t>
        </is>
      </c>
      <c r="E289" t="inlineStr">
        <is>
          <t>Joan C. Edwards Stadium</t>
        </is>
      </c>
      <c r="F289" t="inlineStr"/>
      <c r="G289" t="inlineStr">
        <is>
          <t>Gardner-Webb|Marshall</t>
        </is>
      </c>
    </row>
    <row r="290">
      <c r="A290" t="inlineStr">
        <is>
          <t>Sat Sep 26  3:30 PM ET</t>
        </is>
      </c>
      <c r="B290" t="n">
        <v>4</v>
      </c>
      <c r="C290" t="inlineStr">
        <is>
          <t>UConn</t>
        </is>
      </c>
      <c r="D290" t="inlineStr">
        <is>
          <t>Miami (OH)</t>
        </is>
      </c>
      <c r="E290" t="inlineStr">
        <is>
          <t>Yager Stadium</t>
        </is>
      </c>
      <c r="F290" t="inlineStr"/>
      <c r="G290" t="inlineStr">
        <is>
          <t>Miami (OH)|UConn</t>
        </is>
      </c>
    </row>
    <row r="291">
      <c r="A291" t="inlineStr">
        <is>
          <t>Sat Sep 26  3:30 PM ET</t>
        </is>
      </c>
      <c r="B291" t="n">
        <v>4</v>
      </c>
      <c r="C291" t="inlineStr">
        <is>
          <t>Boise State</t>
        </is>
      </c>
      <c r="D291" t="inlineStr">
        <is>
          <t>Western Michigan</t>
        </is>
      </c>
      <c r="E291" t="inlineStr">
        <is>
          <t>Waldo Stadium</t>
        </is>
      </c>
      <c r="F291" t="inlineStr"/>
      <c r="G291" t="inlineStr">
        <is>
          <t>Boise State|Western Michigan</t>
        </is>
      </c>
    </row>
    <row r="292">
      <c r="A292" t="inlineStr">
        <is>
          <t>Sat Sep 26  3:30 PM ET</t>
        </is>
      </c>
      <c r="B292" t="n">
        <v>4</v>
      </c>
      <c r="C292" t="inlineStr">
        <is>
          <t>William &amp; Mary</t>
        </is>
      </c>
      <c r="D292" t="inlineStr">
        <is>
          <t>Duke</t>
        </is>
      </c>
      <c r="E292" t="inlineStr">
        <is>
          <t>Wallace Wade Stadium</t>
        </is>
      </c>
      <c r="F292" t="inlineStr"/>
      <c r="G292" t="inlineStr">
        <is>
          <t>Duke|William &amp; Mary</t>
        </is>
      </c>
    </row>
    <row r="293">
      <c r="A293" t="inlineStr">
        <is>
          <t>Sat Sep 26  3:30 PM ET</t>
        </is>
      </c>
      <c r="B293" t="n">
        <v>4</v>
      </c>
      <c r="C293" t="inlineStr">
        <is>
          <t>Utah</t>
        </is>
      </c>
      <c r="D293" t="inlineStr">
        <is>
          <t>Iowa State</t>
        </is>
      </c>
      <c r="E293" t="inlineStr">
        <is>
          <t>Jack Trice Stadium</t>
        </is>
      </c>
      <c r="F293" t="inlineStr"/>
      <c r="G293" t="inlineStr">
        <is>
          <t>Iowa State|Utah</t>
        </is>
      </c>
    </row>
    <row r="294">
      <c r="A294" t="inlineStr">
        <is>
          <t>Sat Sep 26  3:30 PM ET</t>
        </is>
      </c>
      <c r="B294" t="n">
        <v>4</v>
      </c>
      <c r="C294" t="inlineStr">
        <is>
          <t>TCU</t>
        </is>
      </c>
      <c r="D294" t="inlineStr">
        <is>
          <t>UCF</t>
        </is>
      </c>
      <c r="E294" t="inlineStr">
        <is>
          <t>FBC Mortgage Stadium</t>
        </is>
      </c>
      <c r="F294" t="inlineStr"/>
      <c r="G294" t="inlineStr">
        <is>
          <t>TCU|UCF</t>
        </is>
      </c>
    </row>
    <row r="295">
      <c r="A295" t="inlineStr">
        <is>
          <t>Sat Sep 26  3:30 PM ET</t>
        </is>
      </c>
      <c r="B295" t="n">
        <v>4</v>
      </c>
      <c r="C295" t="inlineStr">
        <is>
          <t>Iowa</t>
        </is>
      </c>
      <c r="D295" t="inlineStr">
        <is>
          <t>Michigan</t>
        </is>
      </c>
      <c r="E295" t="inlineStr">
        <is>
          <t>Michigan Stadium</t>
        </is>
      </c>
      <c r="F295" t="inlineStr"/>
      <c r="G295" t="inlineStr">
        <is>
          <t>Iowa|Michigan</t>
        </is>
      </c>
    </row>
    <row r="296">
      <c r="A296" t="inlineStr">
        <is>
          <t>Sat Sep 26  3:30 PM ET</t>
        </is>
      </c>
      <c r="B296" t="n">
        <v>4</v>
      </c>
      <c r="C296" t="inlineStr">
        <is>
          <t>Ole Miss</t>
        </is>
      </c>
      <c r="D296" t="inlineStr">
        <is>
          <t>Florida</t>
        </is>
      </c>
      <c r="E296" t="inlineStr">
        <is>
          <t>Ben Hill Griffin Stadium</t>
        </is>
      </c>
      <c r="F296" t="inlineStr"/>
      <c r="G296" t="inlineStr">
        <is>
          <t>Florida|Ole Miss</t>
        </is>
      </c>
    </row>
    <row r="297">
      <c r="A297" t="inlineStr">
        <is>
          <t>Sat Sep 26  3:30 PM ET</t>
        </is>
      </c>
      <c r="B297" t="n">
        <v>4</v>
      </c>
      <c r="C297" t="inlineStr">
        <is>
          <t>Robert Morris</t>
        </is>
      </c>
      <c r="D297" t="inlineStr">
        <is>
          <t>Buffalo</t>
        </is>
      </c>
      <c r="E297" t="inlineStr">
        <is>
          <t>UB Stadium</t>
        </is>
      </c>
      <c r="F297" t="inlineStr"/>
      <c r="G297" t="inlineStr">
        <is>
          <t>Buffalo|Robert Morris</t>
        </is>
      </c>
    </row>
    <row r="298">
      <c r="A298" t="inlineStr">
        <is>
          <t>Sat Sep 26  4:00 PM ET</t>
        </is>
      </c>
      <c r="B298" t="n">
        <v>4</v>
      </c>
      <c r="C298" t="inlineStr">
        <is>
          <t>Houston</t>
        </is>
      </c>
      <c r="D298" t="inlineStr">
        <is>
          <t>Georgia Southern</t>
        </is>
      </c>
      <c r="E298" t="inlineStr">
        <is>
          <t>Allen E. Paulson Stadium</t>
        </is>
      </c>
      <c r="F298" t="inlineStr"/>
      <c r="G298" t="inlineStr">
        <is>
          <t>Georgia Southern|Houston</t>
        </is>
      </c>
    </row>
    <row r="299">
      <c r="A299" t="inlineStr">
        <is>
          <t>Sat Sep 26  4:00 PM ET</t>
        </is>
      </c>
      <c r="B299" t="n">
        <v>4</v>
      </c>
      <c r="C299" t="inlineStr">
        <is>
          <t>North Carolina Central</t>
        </is>
      </c>
      <c r="D299" t="inlineStr">
        <is>
          <t>East Carolina</t>
        </is>
      </c>
      <c r="E299" t="inlineStr">
        <is>
          <t>Dowdy-Ficklen Stadium</t>
        </is>
      </c>
      <c r="F299" t="inlineStr"/>
      <c r="G299" t="inlineStr">
        <is>
          <t>East Carolina|North Carolina Central</t>
        </is>
      </c>
    </row>
    <row r="300">
      <c r="A300" t="inlineStr">
        <is>
          <t>Sat Sep 26  4:15 PM ET</t>
        </is>
      </c>
      <c r="B300" t="n">
        <v>4</v>
      </c>
      <c r="C300" t="inlineStr">
        <is>
          <t>Vanderbilt</t>
        </is>
      </c>
      <c r="D300" t="inlineStr">
        <is>
          <t>Auburn</t>
        </is>
      </c>
      <c r="E300" t="inlineStr">
        <is>
          <t>Jordan-Hare Stadium</t>
        </is>
      </c>
      <c r="F300" t="inlineStr"/>
      <c r="G300" t="inlineStr">
        <is>
          <t>Auburn|Vanderbilt</t>
        </is>
      </c>
    </row>
    <row r="301">
      <c r="A301" t="inlineStr">
        <is>
          <t>Sat Sep 26  5:00 PM ET</t>
        </is>
      </c>
      <c r="B301" t="n">
        <v>4</v>
      </c>
      <c r="C301" t="inlineStr">
        <is>
          <t>Wisconsin</t>
        </is>
      </c>
      <c r="D301" t="inlineStr">
        <is>
          <t>Penn State</t>
        </is>
      </c>
      <c r="E301" t="inlineStr">
        <is>
          <t>Beaver Stadium</t>
        </is>
      </c>
      <c r="F301" t="inlineStr"/>
      <c r="G301" t="inlineStr">
        <is>
          <t>Penn State|Wisconsin</t>
        </is>
      </c>
    </row>
    <row r="302">
      <c r="A302" t="inlineStr">
        <is>
          <t>Sat Sep 26  5:00 PM ET</t>
        </is>
      </c>
      <c r="B302" t="n">
        <v>4</v>
      </c>
      <c r="C302" t="inlineStr">
        <is>
          <t>South Florida</t>
        </is>
      </c>
      <c r="D302" t="inlineStr">
        <is>
          <t>Bowling Green</t>
        </is>
      </c>
      <c r="E302" t="inlineStr">
        <is>
          <t>Doyt L. Perry Stadium</t>
        </is>
      </c>
      <c r="F302" t="inlineStr"/>
      <c r="G302" t="inlineStr">
        <is>
          <t>Bowling Green|South Florida</t>
        </is>
      </c>
    </row>
    <row r="303">
      <c r="A303" t="inlineStr">
        <is>
          <t>Sat Sep 26  5:00 PM ET</t>
        </is>
      </c>
      <c r="B303" t="n">
        <v>4</v>
      </c>
      <c r="C303" t="inlineStr">
        <is>
          <t>Nebraska</t>
        </is>
      </c>
      <c r="D303" t="inlineStr">
        <is>
          <t>Michigan State</t>
        </is>
      </c>
      <c r="E303" t="inlineStr">
        <is>
          <t>Spartan Stadium</t>
        </is>
      </c>
      <c r="F303" t="inlineStr"/>
      <c r="G303" t="inlineStr">
        <is>
          <t>Michigan State|Nebraska</t>
        </is>
      </c>
    </row>
    <row r="304">
      <c r="A304" t="inlineStr">
        <is>
          <t>Sat Sep 26  6:00 PM ET</t>
        </is>
      </c>
      <c r="B304" t="n">
        <v>4</v>
      </c>
      <c r="C304" t="inlineStr">
        <is>
          <t>James Madison</t>
        </is>
      </c>
      <c r="D304" t="inlineStr">
        <is>
          <t>Old Dominion</t>
        </is>
      </c>
      <c r="E304" t="inlineStr">
        <is>
          <t>S.B. Ballard Stadium</t>
        </is>
      </c>
      <c r="F304" t="inlineStr"/>
      <c r="G304" t="inlineStr">
        <is>
          <t>James Madison|Old Dominion</t>
        </is>
      </c>
    </row>
    <row r="305">
      <c r="A305" t="inlineStr">
        <is>
          <t>Sat Sep 26  6:00 PM ET</t>
        </is>
      </c>
      <c r="B305" t="n">
        <v>4</v>
      </c>
      <c r="C305" t="inlineStr">
        <is>
          <t>Delaware</t>
        </is>
      </c>
      <c r="D305" t="inlineStr">
        <is>
          <t>Virginia</t>
        </is>
      </c>
      <c r="E305" t="inlineStr">
        <is>
          <t>Scott Stadium</t>
        </is>
      </c>
      <c r="F305" t="inlineStr"/>
      <c r="G305" t="inlineStr">
        <is>
          <t>Delaware|Virginia</t>
        </is>
      </c>
    </row>
    <row r="306">
      <c r="A306" t="inlineStr">
        <is>
          <t>Sat Sep 26  6:00 PM ET</t>
        </is>
      </c>
      <c r="B306" t="n">
        <v>4</v>
      </c>
      <c r="C306" t="inlineStr">
        <is>
          <t>Long Island University</t>
        </is>
      </c>
      <c r="D306" t="inlineStr">
        <is>
          <t>Florida International</t>
        </is>
      </c>
      <c r="E306" t="inlineStr">
        <is>
          <t>Pitbull Stadium</t>
        </is>
      </c>
      <c r="F306" t="inlineStr"/>
      <c r="G306" t="inlineStr">
        <is>
          <t>Florida International|Long Island University</t>
        </is>
      </c>
    </row>
    <row r="307">
      <c r="A307" t="inlineStr">
        <is>
          <t>Sat Sep 26  6:00 PM ET</t>
        </is>
      </c>
      <c r="B307" t="n">
        <v>4</v>
      </c>
      <c r="C307" t="inlineStr">
        <is>
          <t>Incarnate Word</t>
        </is>
      </c>
      <c r="D307" t="inlineStr">
        <is>
          <t>Texas State</t>
        </is>
      </c>
      <c r="E307" t="inlineStr">
        <is>
          <t>Bobcat Stadium (TX)</t>
        </is>
      </c>
      <c r="F307" t="inlineStr"/>
      <c r="G307" t="inlineStr">
        <is>
          <t>Incarnate Word|Texas State</t>
        </is>
      </c>
    </row>
    <row r="308">
      <c r="A308" t="inlineStr">
        <is>
          <t>Sat Sep 26  6:30 PM ET</t>
        </is>
      </c>
      <c r="B308" t="n">
        <v>4</v>
      </c>
      <c r="C308" t="inlineStr">
        <is>
          <t>Louisiana</t>
        </is>
      </c>
      <c r="D308" t="inlineStr">
        <is>
          <t>Charlotte</t>
        </is>
      </c>
      <c r="E308" t="inlineStr">
        <is>
          <t>Jerry Richardson Stadium</t>
        </is>
      </c>
      <c r="F308" t="inlineStr"/>
      <c r="G308" t="inlineStr">
        <is>
          <t>Charlotte|Louisiana</t>
        </is>
      </c>
    </row>
    <row r="309">
      <c r="A309" t="inlineStr">
        <is>
          <t>Sat Sep 26  6:30 PM ET</t>
        </is>
      </c>
      <c r="B309" t="n">
        <v>4</v>
      </c>
      <c r="C309" t="inlineStr">
        <is>
          <t>Central Michigan</t>
        </is>
      </c>
      <c r="D309" t="inlineStr">
        <is>
          <t>Miami</t>
        </is>
      </c>
      <c r="E309" t="inlineStr">
        <is>
          <t>Hard Rock Stadium</t>
        </is>
      </c>
      <c r="F309" t="inlineStr"/>
      <c r="G309" t="inlineStr">
        <is>
          <t>Central Michigan|Miami</t>
        </is>
      </c>
    </row>
    <row r="310">
      <c r="A310" t="inlineStr">
        <is>
          <t>Sat Sep 26  7:00 PM ET</t>
        </is>
      </c>
      <c r="B310" t="n">
        <v>4</v>
      </c>
      <c r="C310" t="inlineStr">
        <is>
          <t>Southern Miss</t>
        </is>
      </c>
      <c r="D310" t="inlineStr">
        <is>
          <t>Tulane</t>
        </is>
      </c>
      <c r="E310" t="inlineStr">
        <is>
          <t>Yulman Stadium</t>
        </is>
      </c>
      <c r="F310" t="inlineStr"/>
      <c r="G310" t="inlineStr">
        <is>
          <t>Southern Miss|Tulane</t>
        </is>
      </c>
    </row>
    <row r="311">
      <c r="A311" t="inlineStr">
        <is>
          <t>Sat Sep 26  7:00 PM ET</t>
        </is>
      </c>
      <c r="B311" t="n">
        <v>4</v>
      </c>
      <c r="C311" t="inlineStr">
        <is>
          <t>Kennesaw State</t>
        </is>
      </c>
      <c r="D311" t="inlineStr">
        <is>
          <t>Arkansas State</t>
        </is>
      </c>
      <c r="E311" t="inlineStr">
        <is>
          <t>Centennial Bank Stadium</t>
        </is>
      </c>
      <c r="F311" t="inlineStr"/>
      <c r="G311" t="inlineStr">
        <is>
          <t>Arkansas State|Kennesaw State</t>
        </is>
      </c>
    </row>
    <row r="312">
      <c r="A312" t="inlineStr">
        <is>
          <t>Sat Sep 26  7:00 PM ET</t>
        </is>
      </c>
      <c r="B312" t="n">
        <v>4</v>
      </c>
      <c r="C312" t="inlineStr">
        <is>
          <t>Mercyhurst</t>
        </is>
      </c>
      <c r="D312" t="inlineStr">
        <is>
          <t>Western Kentucky</t>
        </is>
      </c>
      <c r="E312" t="inlineStr">
        <is>
          <t>Houchens Industries-L.T. Smith Stadium</t>
        </is>
      </c>
      <c r="F312" t="inlineStr"/>
      <c r="G312" t="inlineStr">
        <is>
          <t>Mercyhurst|Western Kentucky</t>
        </is>
      </c>
    </row>
    <row r="313">
      <c r="A313" t="inlineStr">
        <is>
          <t>Sat Sep 26  7:00 PM ET</t>
        </is>
      </c>
      <c r="B313" t="n">
        <v>4</v>
      </c>
      <c r="C313" t="inlineStr">
        <is>
          <t>Middle Tennessee</t>
        </is>
      </c>
      <c r="D313" t="inlineStr">
        <is>
          <t>Jacksonville State</t>
        </is>
      </c>
      <c r="E313" t="inlineStr">
        <is>
          <t>AmFirst Stadium</t>
        </is>
      </c>
      <c r="F313" t="inlineStr"/>
      <c r="G313" t="inlineStr">
        <is>
          <t>Jacksonville State|Middle Tennessee</t>
        </is>
      </c>
    </row>
    <row r="314">
      <c r="A314" t="inlineStr">
        <is>
          <t>Sat Sep 26  7:00 PM ET</t>
        </is>
      </c>
      <c r="B314" t="n">
        <v>4</v>
      </c>
      <c r="C314" t="inlineStr">
        <is>
          <t>Oklahoma State</t>
        </is>
      </c>
      <c r="D314" t="inlineStr">
        <is>
          <t>West Virginia</t>
        </is>
      </c>
      <c r="E314" t="inlineStr">
        <is>
          <t>Milan Puskar Stadium</t>
        </is>
      </c>
      <c r="F314" t="inlineStr"/>
      <c r="G314" t="inlineStr">
        <is>
          <t>Oklahoma State|West Virginia</t>
        </is>
      </c>
    </row>
    <row r="315">
      <c r="A315" t="inlineStr">
        <is>
          <t>Sat Sep 26  7:00 PM ET</t>
        </is>
      </c>
      <c r="B315" t="n">
        <v>4</v>
      </c>
      <c r="C315" t="inlineStr">
        <is>
          <t>Kansas State</t>
        </is>
      </c>
      <c r="D315" t="inlineStr">
        <is>
          <t>Cincinnati</t>
        </is>
      </c>
      <c r="E315" t="inlineStr">
        <is>
          <t>Nippert Stadium</t>
        </is>
      </c>
      <c r="F315" t="inlineStr"/>
      <c r="G315" t="inlineStr">
        <is>
          <t>Cincinnati|Kansas State</t>
        </is>
      </c>
    </row>
    <row r="316">
      <c r="A316" t="inlineStr">
        <is>
          <t>Sat Sep 26  7:00 PM ET</t>
        </is>
      </c>
      <c r="B316" t="n">
        <v>4</v>
      </c>
      <c r="C316" t="inlineStr">
        <is>
          <t>South Carolina</t>
        </is>
      </c>
      <c r="D316" t="inlineStr">
        <is>
          <t>Alabama</t>
        </is>
      </c>
      <c r="E316" t="inlineStr">
        <is>
          <t>Bryant-Denny Stadium</t>
        </is>
      </c>
      <c r="F316" t="inlineStr"/>
      <c r="G316" t="inlineStr">
        <is>
          <t>Alabama|South Carolina</t>
        </is>
      </c>
    </row>
    <row r="317">
      <c r="A317" t="inlineStr">
        <is>
          <t>Sat Sep 26  7:30 PM ET</t>
        </is>
      </c>
      <c r="B317" t="n">
        <v>4</v>
      </c>
      <c r="C317" t="inlineStr">
        <is>
          <t>Texas A&amp;M</t>
        </is>
      </c>
      <c r="D317" t="inlineStr">
        <is>
          <t>LSU</t>
        </is>
      </c>
      <c r="E317" t="inlineStr">
        <is>
          <t>Tiger Stadium (LA)</t>
        </is>
      </c>
      <c r="F317" t="inlineStr"/>
      <c r="G317" t="inlineStr">
        <is>
          <t>LSU|Texas A&amp;M</t>
        </is>
      </c>
    </row>
    <row r="318">
      <c r="A318" t="inlineStr">
        <is>
          <t>Sat Sep 26  7:30 PM ET</t>
        </is>
      </c>
      <c r="B318" t="n">
        <v>4</v>
      </c>
      <c r="C318" t="inlineStr">
        <is>
          <t>Troy</t>
        </is>
      </c>
      <c r="D318" t="inlineStr">
        <is>
          <t>Utah State</t>
        </is>
      </c>
      <c r="E318" t="inlineStr">
        <is>
          <t>Maverik Stadium</t>
        </is>
      </c>
      <c r="F318" t="inlineStr"/>
      <c r="G318" t="inlineStr">
        <is>
          <t>Troy|Utah State</t>
        </is>
      </c>
    </row>
    <row r="319">
      <c r="A319" t="inlineStr">
        <is>
          <t>Sat Sep 26  7:30 PM ET</t>
        </is>
      </c>
      <c r="B319" t="n">
        <v>4</v>
      </c>
      <c r="C319" t="inlineStr">
        <is>
          <t>Oregon</t>
        </is>
      </c>
      <c r="D319" t="inlineStr">
        <is>
          <t>USC</t>
        </is>
      </c>
      <c r="E319" t="inlineStr">
        <is>
          <t>Los Angeles Memorial Coliseum</t>
        </is>
      </c>
      <c r="F319" t="inlineStr"/>
      <c r="G319" t="inlineStr">
        <is>
          <t>Oregon|USC</t>
        </is>
      </c>
    </row>
    <row r="320">
      <c r="A320" t="inlineStr">
        <is>
          <t>Sat Sep 26  7:30 PM ET</t>
        </is>
      </c>
      <c r="B320" t="n">
        <v>4</v>
      </c>
      <c r="C320" t="inlineStr">
        <is>
          <t>Arizona</t>
        </is>
      </c>
      <c r="D320" t="inlineStr">
        <is>
          <t>Washington State</t>
        </is>
      </c>
      <c r="E320" t="inlineStr">
        <is>
          <t>Gesa Field</t>
        </is>
      </c>
      <c r="F320" t="inlineStr"/>
      <c r="G320" t="inlineStr">
        <is>
          <t>Arizona|Washington State</t>
        </is>
      </c>
    </row>
    <row r="321">
      <c r="A321" t="inlineStr">
        <is>
          <t>Sat Sep 26  7:30 PM ET</t>
        </is>
      </c>
      <c r="B321" t="n">
        <v>4</v>
      </c>
      <c r="C321" t="inlineStr">
        <is>
          <t>Houston Christian</t>
        </is>
      </c>
      <c r="D321" t="inlineStr">
        <is>
          <t>North Texas</t>
        </is>
      </c>
      <c r="E321" t="inlineStr">
        <is>
          <t>DATCU Stadium</t>
        </is>
      </c>
      <c r="F321" t="inlineStr"/>
      <c r="G321" t="inlineStr">
        <is>
          <t>Houston Christian|North Texas</t>
        </is>
      </c>
    </row>
    <row r="322">
      <c r="A322" t="inlineStr">
        <is>
          <t>Sat Sep 26  7:30 PM ET</t>
        </is>
      </c>
      <c r="B322" t="n">
        <v>4</v>
      </c>
      <c r="C322" t="inlineStr">
        <is>
          <t>Appalachian State</t>
        </is>
      </c>
      <c r="D322" t="inlineStr">
        <is>
          <t>NC State</t>
        </is>
      </c>
      <c r="E322" t="inlineStr">
        <is>
          <t>Carter-Finley Stadium</t>
        </is>
      </c>
      <c r="F322" t="inlineStr"/>
      <c r="G322" t="inlineStr">
        <is>
          <t>Appalachian State|NC State</t>
        </is>
      </c>
    </row>
    <row r="323">
      <c r="A323" t="inlineStr">
        <is>
          <t>Sat Sep 26  7:45 PM ET</t>
        </is>
      </c>
      <c r="B323" t="n">
        <v>4</v>
      </c>
      <c r="C323" t="inlineStr">
        <is>
          <t>Missouri</t>
        </is>
      </c>
      <c r="D323" t="inlineStr">
        <is>
          <t>Mississippi State</t>
        </is>
      </c>
      <c r="E323" t="inlineStr">
        <is>
          <t>Davis Wade Stadium</t>
        </is>
      </c>
      <c r="F323" t="inlineStr"/>
      <c r="G323" t="inlineStr">
        <is>
          <t>Mississippi State|Missouri</t>
        </is>
      </c>
    </row>
    <row r="324">
      <c r="A324" t="inlineStr">
        <is>
          <t>Sat Sep 26  8:00 PM ET</t>
        </is>
      </c>
      <c r="B324" t="n">
        <v>4</v>
      </c>
      <c r="C324" t="inlineStr">
        <is>
          <t>Florida Atlantic</t>
        </is>
      </c>
      <c r="D324" t="inlineStr">
        <is>
          <t>Louisiana-Monroe</t>
        </is>
      </c>
      <c r="E324" t="inlineStr">
        <is>
          <t>Malone Stadium</t>
        </is>
      </c>
      <c r="F324" t="inlineStr"/>
      <c r="G324" t="inlineStr">
        <is>
          <t>Florida Atlantic|Louisiana-Monroe</t>
        </is>
      </c>
    </row>
    <row r="325">
      <c r="A325" t="inlineStr">
        <is>
          <t>Sat Sep 26  8:00 PM ET</t>
        </is>
      </c>
      <c r="B325" t="n">
        <v>4</v>
      </c>
      <c r="C325" t="inlineStr">
        <is>
          <t>Tulsa</t>
        </is>
      </c>
      <c r="D325" t="inlineStr">
        <is>
          <t>Arkansas</t>
        </is>
      </c>
      <c r="E325" t="inlineStr">
        <is>
          <t>Razorback Stadium</t>
        </is>
      </c>
      <c r="F325" t="inlineStr"/>
      <c r="G325" t="inlineStr">
        <is>
          <t>Arkansas|Tulsa</t>
        </is>
      </c>
    </row>
    <row r="326">
      <c r="A326" t="inlineStr">
        <is>
          <t>Sat Sep 26  9:00 PM ET</t>
        </is>
      </c>
      <c r="B326" t="n">
        <v>4</v>
      </c>
      <c r="C326" t="inlineStr">
        <is>
          <t>UMass</t>
        </is>
      </c>
      <c r="D326" t="inlineStr">
        <is>
          <t>Sacramento State</t>
        </is>
      </c>
      <c r="E326" t="inlineStr">
        <is>
          <t>Hornet Stadium</t>
        </is>
      </c>
      <c r="F326" t="inlineStr"/>
      <c r="G326" t="inlineStr">
        <is>
          <t>Sacramento State|UMass</t>
        </is>
      </c>
    </row>
    <row r="327">
      <c r="A327" t="inlineStr">
        <is>
          <t>Sat Sep 26  9:00 PM ET</t>
        </is>
      </c>
      <c r="B327" t="n">
        <v>4</v>
      </c>
      <c r="C327" t="inlineStr">
        <is>
          <t>Missouri State</t>
        </is>
      </c>
      <c r="D327" t="inlineStr">
        <is>
          <t>SMU</t>
        </is>
      </c>
      <c r="E327" t="inlineStr">
        <is>
          <t>Gerald J. Ford Stadium</t>
        </is>
      </c>
      <c r="F327" t="inlineStr"/>
      <c r="G327" t="inlineStr">
        <is>
          <t>Missouri State|SMU</t>
        </is>
      </c>
    </row>
    <row r="328">
      <c r="A328" t="inlineStr">
        <is>
          <t>Sat Sep 26  9:00 PM ET</t>
        </is>
      </c>
      <c r="B328" t="n">
        <v>4</v>
      </c>
      <c r="C328" t="inlineStr">
        <is>
          <t>Oregon State</t>
        </is>
      </c>
      <c r="D328" t="inlineStr">
        <is>
          <t>UTEP</t>
        </is>
      </c>
      <c r="E328" t="inlineStr">
        <is>
          <t>Sun Bowl</t>
        </is>
      </c>
      <c r="F328" t="inlineStr"/>
      <c r="G328" t="inlineStr">
        <is>
          <t>Oregon State|UTEP</t>
        </is>
      </c>
    </row>
    <row r="329">
      <c r="A329" t="inlineStr">
        <is>
          <t>Sat Sep 26  10:00 PM ET</t>
        </is>
      </c>
      <c r="B329" t="n">
        <v>4</v>
      </c>
      <c r="C329" t="inlineStr">
        <is>
          <t>Rice</t>
        </is>
      </c>
      <c r="D329" t="inlineStr">
        <is>
          <t>Fresno State</t>
        </is>
      </c>
      <c r="E329" t="inlineStr">
        <is>
          <t>Valley Children's Stadium</t>
        </is>
      </c>
      <c r="F329" t="inlineStr"/>
      <c r="G329" t="inlineStr">
        <is>
          <t>Fresno State|Rice</t>
        </is>
      </c>
    </row>
    <row r="330">
      <c r="A330" t="inlineStr">
        <is>
          <t>Sat Sep 26  10:30 PM ET</t>
        </is>
      </c>
      <c r="B330" t="n">
        <v>4</v>
      </c>
      <c r="C330" t="inlineStr">
        <is>
          <t>Air Force</t>
        </is>
      </c>
      <c r="D330" t="inlineStr">
        <is>
          <t>Nevada</t>
        </is>
      </c>
      <c r="E330" t="inlineStr">
        <is>
          <t>Mackay Stadium</t>
        </is>
      </c>
      <c r="F330" t="inlineStr"/>
      <c r="G330" t="inlineStr">
        <is>
          <t>Air Force|Nevada</t>
        </is>
      </c>
    </row>
    <row r="331">
      <c r="A331" t="inlineStr">
        <is>
          <t>Sat Sep 26  10:30 PM ET</t>
        </is>
      </c>
      <c r="B331" t="n">
        <v>4</v>
      </c>
      <c r="C331" t="inlineStr">
        <is>
          <t>Georgia Tech</t>
        </is>
      </c>
      <c r="D331" t="inlineStr">
        <is>
          <t>Stanford</t>
        </is>
      </c>
      <c r="E331" t="inlineStr">
        <is>
          <t>Stanford Stadium</t>
        </is>
      </c>
      <c r="F331" t="inlineStr"/>
      <c r="G331" t="inlineStr">
        <is>
          <t>Georgia Tech|Stanford</t>
        </is>
      </c>
    </row>
    <row r="332">
      <c r="A332" t="inlineStr">
        <is>
          <t>Sat Sep 26  11:00 PM ET</t>
        </is>
      </c>
      <c r="B332" t="n">
        <v>4</v>
      </c>
      <c r="C332" t="inlineStr">
        <is>
          <t>Minnesota</t>
        </is>
      </c>
      <c r="D332" t="inlineStr">
        <is>
          <t>Washington</t>
        </is>
      </c>
      <c r="E332" t="inlineStr">
        <is>
          <t>Husky Stadium</t>
        </is>
      </c>
      <c r="F332" t="inlineStr"/>
      <c r="G332" t="inlineStr">
        <is>
          <t>Minnesota|Washington</t>
        </is>
      </c>
    </row>
    <row r="333">
      <c r="A333" t="inlineStr">
        <is>
          <t>Thu Oct 01  8:00 PM ET</t>
        </is>
      </c>
      <c r="B333" t="n">
        <v>5</v>
      </c>
      <c r="C333" t="inlineStr">
        <is>
          <t>Western Kentucky</t>
        </is>
      </c>
      <c r="D333" t="inlineStr">
        <is>
          <t>New Mexico State</t>
        </is>
      </c>
      <c r="E333" t="inlineStr">
        <is>
          <t>Aggie Memorial Stadium</t>
        </is>
      </c>
      <c r="F333" t="inlineStr"/>
      <c r="G333" t="inlineStr">
        <is>
          <t>New Mexico State|Western Kentucky</t>
        </is>
      </c>
    </row>
    <row r="334">
      <c r="A334" t="inlineStr">
        <is>
          <t>Thu Oct 01  9:00 PM ET</t>
        </is>
      </c>
      <c r="B334" t="n">
        <v>5</v>
      </c>
      <c r="C334" t="inlineStr">
        <is>
          <t>North Texas</t>
        </is>
      </c>
      <c r="D334" t="inlineStr">
        <is>
          <t>Tulsa</t>
        </is>
      </c>
      <c r="E334" t="inlineStr">
        <is>
          <t>Chapman Stadium</t>
        </is>
      </c>
      <c r="F334" t="inlineStr"/>
      <c r="G334" t="inlineStr">
        <is>
          <t>North Texas|Tulsa</t>
        </is>
      </c>
    </row>
    <row r="335">
      <c r="A335" t="inlineStr">
        <is>
          <t>Fri Oct 02  7:00 PM ET</t>
        </is>
      </c>
      <c r="B335" t="n">
        <v>5</v>
      </c>
      <c r="C335" t="inlineStr">
        <is>
          <t>Liberty</t>
        </is>
      </c>
      <c r="D335" t="inlineStr">
        <is>
          <t>Delaware</t>
        </is>
      </c>
      <c r="E335" t="inlineStr">
        <is>
          <t>Delaware Stadium</t>
        </is>
      </c>
      <c r="F335" t="inlineStr"/>
      <c r="G335" t="inlineStr">
        <is>
          <t>Delaware|Liberty</t>
        </is>
      </c>
    </row>
    <row r="336">
      <c r="A336" t="inlineStr">
        <is>
          <t>Fri Oct 02  7:00 PM ET</t>
        </is>
      </c>
      <c r="B336" t="n">
        <v>5</v>
      </c>
      <c r="C336" t="inlineStr">
        <is>
          <t>Pittsburgh</t>
        </is>
      </c>
      <c r="D336" t="inlineStr">
        <is>
          <t>Virginia Tech</t>
        </is>
      </c>
      <c r="E336" t="inlineStr">
        <is>
          <t>Lane Stadium</t>
        </is>
      </c>
      <c r="F336" t="inlineStr"/>
      <c r="G336" t="inlineStr">
        <is>
          <t>Pittsburgh|Virginia Tech</t>
        </is>
      </c>
    </row>
    <row r="337">
      <c r="A337" t="inlineStr">
        <is>
          <t>Fri Oct 02  8:00 PM ET</t>
        </is>
      </c>
      <c r="B337" t="n">
        <v>5</v>
      </c>
      <c r="C337" t="inlineStr">
        <is>
          <t>Penn State</t>
        </is>
      </c>
      <c r="D337" t="inlineStr">
        <is>
          <t>Northwestern</t>
        </is>
      </c>
      <c r="E337" t="inlineStr">
        <is>
          <t>Ryan Field</t>
        </is>
      </c>
      <c r="F337" t="inlineStr"/>
      <c r="G337" t="inlineStr">
        <is>
          <t>Northwestern|Penn State</t>
        </is>
      </c>
    </row>
    <row r="338">
      <c r="A338" t="inlineStr">
        <is>
          <t>Sat Oct 03  TBD</t>
        </is>
      </c>
      <c r="B338" t="n">
        <v>5</v>
      </c>
      <c r="C338" t="inlineStr">
        <is>
          <t>Miami</t>
        </is>
      </c>
      <c r="D338" t="inlineStr">
        <is>
          <t>Clemson</t>
        </is>
      </c>
      <c r="E338" t="inlineStr">
        <is>
          <t>Memorial Stadium (Clemson, SC)</t>
        </is>
      </c>
      <c r="F338" t="inlineStr"/>
      <c r="G338" t="inlineStr">
        <is>
          <t>Clemson|Miami</t>
        </is>
      </c>
    </row>
    <row r="339">
      <c r="A339" t="inlineStr">
        <is>
          <t>Sat Oct 03  TBD</t>
        </is>
      </c>
      <c r="B339" t="n">
        <v>5</v>
      </c>
      <c r="C339" t="inlineStr">
        <is>
          <t>Alabama</t>
        </is>
      </c>
      <c r="D339" t="inlineStr">
        <is>
          <t>Mississippi State</t>
        </is>
      </c>
      <c r="E339" t="inlineStr">
        <is>
          <t>Davis Wade Stadium</t>
        </is>
      </c>
      <c r="F339" t="inlineStr"/>
      <c r="G339" t="inlineStr">
        <is>
          <t>Alabama|Mississippi State</t>
        </is>
      </c>
    </row>
    <row r="340">
      <c r="A340" t="inlineStr">
        <is>
          <t>Sat Oct 03  TBD</t>
        </is>
      </c>
      <c r="B340" t="n">
        <v>5</v>
      </c>
      <c r="C340" t="inlineStr">
        <is>
          <t>Vanderbilt</t>
        </is>
      </c>
      <c r="D340" t="inlineStr">
        <is>
          <t>Georgia</t>
        </is>
      </c>
      <c r="E340" t="inlineStr">
        <is>
          <t>Sanford Stadium</t>
        </is>
      </c>
      <c r="F340" t="inlineStr"/>
      <c r="G340" t="inlineStr">
        <is>
          <t>Georgia|Vanderbilt</t>
        </is>
      </c>
    </row>
    <row r="341">
      <c r="A341" t="inlineStr">
        <is>
          <t>Sat Oct 03  TBD</t>
        </is>
      </c>
      <c r="B341" t="n">
        <v>5</v>
      </c>
      <c r="C341" t="inlineStr">
        <is>
          <t>Notre Dame</t>
        </is>
      </c>
      <c r="D341" t="inlineStr">
        <is>
          <t>North Carolina</t>
        </is>
      </c>
      <c r="E341" t="inlineStr">
        <is>
          <t>Kenan Stadium</t>
        </is>
      </c>
      <c r="F341" t="inlineStr"/>
      <c r="G341" t="inlineStr">
        <is>
          <t>North Carolina|Notre Dame</t>
        </is>
      </c>
    </row>
    <row r="342">
      <c r="A342" t="inlineStr">
        <is>
          <t>Sat Oct 03  12:00 PM ET</t>
        </is>
      </c>
      <c r="B342" t="n">
        <v>5</v>
      </c>
      <c r="C342" t="inlineStr">
        <is>
          <t>Middle Tennessee</t>
        </is>
      </c>
      <c r="D342" t="inlineStr">
        <is>
          <t>Kansas</t>
        </is>
      </c>
      <c r="E342" t="inlineStr">
        <is>
          <t>Memorial Stadium</t>
        </is>
      </c>
      <c r="F342" t="inlineStr"/>
      <c r="G342" t="inlineStr">
        <is>
          <t>Kansas|Middle Tennessee</t>
        </is>
      </c>
    </row>
    <row r="343">
      <c r="A343" t="inlineStr">
        <is>
          <t>Sat Oct 03  12:00 PM ET</t>
        </is>
      </c>
      <c r="B343" t="n">
        <v>5</v>
      </c>
      <c r="C343" t="inlineStr">
        <is>
          <t>UCF</t>
        </is>
      </c>
      <c r="D343" t="inlineStr">
        <is>
          <t>Houston</t>
        </is>
      </c>
      <c r="E343" t="inlineStr">
        <is>
          <t>TDECU Stadium</t>
        </is>
      </c>
      <c r="F343" t="inlineStr"/>
      <c r="G343" t="inlineStr">
        <is>
          <t>Houston|UCF</t>
        </is>
      </c>
    </row>
    <row r="344">
      <c r="A344" t="inlineStr">
        <is>
          <t>Sat Oct 03  12:00 PM ET</t>
        </is>
      </c>
      <c r="B344" t="n">
        <v>5</v>
      </c>
      <c r="C344" t="inlineStr">
        <is>
          <t>Boston College</t>
        </is>
      </c>
      <c r="D344" t="inlineStr">
        <is>
          <t>SMU</t>
        </is>
      </c>
      <c r="E344" t="inlineStr">
        <is>
          <t>Gerald J. Ford Stadium</t>
        </is>
      </c>
      <c r="F344" t="inlineStr"/>
      <c r="G344" t="inlineStr">
        <is>
          <t>Boston College|SMU</t>
        </is>
      </c>
    </row>
    <row r="345">
      <c r="A345" t="inlineStr">
        <is>
          <t>Sat Oct 03  12:00 PM ET</t>
        </is>
      </c>
      <c r="B345" t="n">
        <v>5</v>
      </c>
      <c r="C345" t="inlineStr">
        <is>
          <t>Syracuse</t>
        </is>
      </c>
      <c r="D345" t="inlineStr">
        <is>
          <t>UConn</t>
        </is>
      </c>
      <c r="E345" t="inlineStr">
        <is>
          <t>Pratt &amp; Whitney Stadium</t>
        </is>
      </c>
      <c r="F345" t="inlineStr"/>
      <c r="G345" t="inlineStr">
        <is>
          <t>Syracuse|UConn</t>
        </is>
      </c>
    </row>
    <row r="346">
      <c r="A346" t="inlineStr">
        <is>
          <t>Sat Oct 03  12:00 PM ET</t>
        </is>
      </c>
      <c r="B346" t="n">
        <v>5</v>
      </c>
      <c r="C346" t="inlineStr">
        <is>
          <t>Navy</t>
        </is>
      </c>
      <c r="D346" t="inlineStr">
        <is>
          <t>Air Force</t>
        </is>
      </c>
      <c r="E346" t="inlineStr">
        <is>
          <t>Falcon Stadium</t>
        </is>
      </c>
      <c r="F346" t="inlineStr"/>
      <c r="G346" t="inlineStr">
        <is>
          <t>Air Force|Navy</t>
        </is>
      </c>
    </row>
    <row r="347">
      <c r="A347" t="inlineStr">
        <is>
          <t>Sat Oct 03  12:00 PM ET</t>
        </is>
      </c>
      <c r="B347" t="n">
        <v>5</v>
      </c>
      <c r="C347" t="inlineStr">
        <is>
          <t>Stanford</t>
        </is>
      </c>
      <c r="D347" t="inlineStr">
        <is>
          <t>Wake Forest</t>
        </is>
      </c>
      <c r="E347" t="inlineStr">
        <is>
          <t>Allegacy Federal Credit Union Stadium</t>
        </is>
      </c>
      <c r="F347" t="inlineStr"/>
      <c r="G347" t="inlineStr">
        <is>
          <t>Stanford|Wake Forest</t>
        </is>
      </c>
    </row>
    <row r="348">
      <c r="A348" t="inlineStr">
        <is>
          <t>Sat Oct 03  12:00 PM ET</t>
        </is>
      </c>
      <c r="B348" t="n">
        <v>5</v>
      </c>
      <c r="C348" t="inlineStr">
        <is>
          <t>West Virginia</t>
        </is>
      </c>
      <c r="D348" t="inlineStr">
        <is>
          <t>Iowa State</t>
        </is>
      </c>
      <c r="E348" t="inlineStr">
        <is>
          <t>Jack Trice Stadium</t>
        </is>
      </c>
      <c r="F348" t="inlineStr"/>
      <c r="G348" t="inlineStr">
        <is>
          <t>Iowa State|West Virginia</t>
        </is>
      </c>
    </row>
    <row r="349">
      <c r="A349" t="inlineStr">
        <is>
          <t>Sat Oct 03  12:00 PM ET</t>
        </is>
      </c>
      <c r="B349" t="n">
        <v>5</v>
      </c>
      <c r="C349" t="inlineStr">
        <is>
          <t>Michigan</t>
        </is>
      </c>
      <c r="D349" t="inlineStr">
        <is>
          <t>Minnesota</t>
        </is>
      </c>
      <c r="E349" t="inlineStr">
        <is>
          <t>Huntington Bank Stadium</t>
        </is>
      </c>
      <c r="F349" t="inlineStr"/>
      <c r="G349" t="inlineStr">
        <is>
          <t>Michigan|Minnesota</t>
        </is>
      </c>
    </row>
    <row r="350">
      <c r="A350" t="inlineStr">
        <is>
          <t>Sat Oct 03  12:30 PM ET</t>
        </is>
      </c>
      <c r="B350" t="n">
        <v>5</v>
      </c>
      <c r="C350" t="inlineStr">
        <is>
          <t>Michigan State</t>
        </is>
      </c>
      <c r="D350" t="inlineStr">
        <is>
          <t>Wisconsin</t>
        </is>
      </c>
      <c r="E350" t="inlineStr">
        <is>
          <t>Camp Randall Stadium</t>
        </is>
      </c>
      <c r="F350" t="inlineStr"/>
      <c r="G350" t="inlineStr">
        <is>
          <t>Michigan State|Wisconsin</t>
        </is>
      </c>
    </row>
    <row r="351">
      <c r="A351" t="inlineStr">
        <is>
          <t>Sat Oct 03  1:00 PM ET</t>
        </is>
      </c>
      <c r="B351" t="n">
        <v>5</v>
      </c>
      <c r="C351" t="inlineStr">
        <is>
          <t>Western Michigan</t>
        </is>
      </c>
      <c r="D351" t="inlineStr">
        <is>
          <t>Buffalo</t>
        </is>
      </c>
      <c r="E351" t="inlineStr">
        <is>
          <t>UB Stadium</t>
        </is>
      </c>
      <c r="F351" t="inlineStr"/>
      <c r="G351" t="inlineStr">
        <is>
          <t>Buffalo|Western Michigan</t>
        </is>
      </c>
    </row>
    <row r="352">
      <c r="A352" t="inlineStr">
        <is>
          <t>Sat Oct 03  2:00 PM ET</t>
        </is>
      </c>
      <c r="B352" t="n">
        <v>5</v>
      </c>
      <c r="C352" t="inlineStr">
        <is>
          <t>Toledo</t>
        </is>
      </c>
      <c r="D352" t="inlineStr">
        <is>
          <t>Ball State</t>
        </is>
      </c>
      <c r="E352" t="inlineStr">
        <is>
          <t>Scheumann Stadium</t>
        </is>
      </c>
      <c r="F352" t="inlineStr"/>
      <c r="G352" t="inlineStr">
        <is>
          <t>Ball State|Toledo</t>
        </is>
      </c>
    </row>
    <row r="353">
      <c r="A353" t="inlineStr">
        <is>
          <t>Sat Oct 03  3:30 PM ET</t>
        </is>
      </c>
      <c r="B353" t="n">
        <v>5</v>
      </c>
      <c r="C353" t="inlineStr">
        <is>
          <t>Florida</t>
        </is>
      </c>
      <c r="D353" t="inlineStr">
        <is>
          <t>Missouri</t>
        </is>
      </c>
      <c r="E353" t="inlineStr">
        <is>
          <t>Memorial Stadium</t>
        </is>
      </c>
      <c r="F353" t="inlineStr"/>
      <c r="G353" t="inlineStr">
        <is>
          <t>Florida|Missouri</t>
        </is>
      </c>
    </row>
    <row r="354">
      <c r="A354" t="inlineStr">
        <is>
          <t>Sat Oct 03  3:30 PM ET</t>
        </is>
      </c>
      <c r="B354" t="n">
        <v>5</v>
      </c>
      <c r="C354" t="inlineStr">
        <is>
          <t>Ohio</t>
        </is>
      </c>
      <c r="D354" t="inlineStr">
        <is>
          <t>Kent State</t>
        </is>
      </c>
      <c r="E354" t="inlineStr">
        <is>
          <t>Dix Stadium</t>
        </is>
      </c>
      <c r="F354" t="inlineStr"/>
      <c r="G354" t="inlineStr">
        <is>
          <t>Kent State|Ohio</t>
        </is>
      </c>
    </row>
    <row r="355">
      <c r="A355" t="inlineStr">
        <is>
          <t>Sat Oct 03  3:30 PM ET</t>
        </is>
      </c>
      <c r="B355" t="n">
        <v>5</v>
      </c>
      <c r="C355" t="inlineStr">
        <is>
          <t>Eastern Michigan</t>
        </is>
      </c>
      <c r="D355" t="inlineStr">
        <is>
          <t>UMass</t>
        </is>
      </c>
      <c r="E355" t="inlineStr">
        <is>
          <t>Warren McGuirk Alumni Stadium</t>
        </is>
      </c>
      <c r="F355" t="inlineStr"/>
      <c r="G355" t="inlineStr">
        <is>
          <t>Eastern Michigan|UMass</t>
        </is>
      </c>
    </row>
    <row r="356">
      <c r="A356" t="inlineStr">
        <is>
          <t>Sat Oct 03  3:30 PM ET</t>
        </is>
      </c>
      <c r="B356" t="n">
        <v>5</v>
      </c>
      <c r="C356" t="inlineStr">
        <is>
          <t>Bowling Green</t>
        </is>
      </c>
      <c r="D356" t="inlineStr">
        <is>
          <t>Miami (OH)</t>
        </is>
      </c>
      <c r="E356" t="inlineStr">
        <is>
          <t>Yager Stadium</t>
        </is>
      </c>
      <c r="F356" t="inlineStr"/>
      <c r="G356" t="inlineStr">
        <is>
          <t>Bowling Green|Miami (OH)</t>
        </is>
      </c>
    </row>
    <row r="357">
      <c r="A357" t="inlineStr">
        <is>
          <t>Sat Oct 03  3:30 PM ET</t>
        </is>
      </c>
      <c r="B357" t="n">
        <v>5</v>
      </c>
      <c r="C357" t="inlineStr">
        <is>
          <t>Akron</t>
        </is>
      </c>
      <c r="D357" t="inlineStr">
        <is>
          <t>Central Michigan</t>
        </is>
      </c>
      <c r="E357" t="inlineStr">
        <is>
          <t>Kelly/Shorts Stadium</t>
        </is>
      </c>
      <c r="F357" t="inlineStr"/>
      <c r="G357" t="inlineStr">
        <is>
          <t>Akron|Central Michigan</t>
        </is>
      </c>
    </row>
    <row r="358">
      <c r="A358" t="inlineStr">
        <is>
          <t>Sat Oct 03  3:30 PM ET</t>
        </is>
      </c>
      <c r="B358" t="n">
        <v>5</v>
      </c>
      <c r="C358" t="inlineStr">
        <is>
          <t>Ohio State</t>
        </is>
      </c>
      <c r="D358" t="inlineStr">
        <is>
          <t>Iowa</t>
        </is>
      </c>
      <c r="E358" t="inlineStr">
        <is>
          <t>Kinnick Stadium</t>
        </is>
      </c>
      <c r="F358" t="inlineStr"/>
      <c r="G358" t="inlineStr">
        <is>
          <t>Iowa|Ohio State</t>
        </is>
      </c>
    </row>
    <row r="359">
      <c r="A359" t="inlineStr">
        <is>
          <t>Sat Oct 03  3:30 PM ET</t>
        </is>
      </c>
      <c r="B359" t="n">
        <v>5</v>
      </c>
      <c r="C359" t="inlineStr">
        <is>
          <t>Wyoming</t>
        </is>
      </c>
      <c r="D359" t="inlineStr">
        <is>
          <t>North Dakota State</t>
        </is>
      </c>
      <c r="E359" t="inlineStr">
        <is>
          <t>Fargodome</t>
        </is>
      </c>
      <c r="F359" t="inlineStr"/>
      <c r="G359" t="inlineStr">
        <is>
          <t>North Dakota State|Wyoming</t>
        </is>
      </c>
    </row>
    <row r="360">
      <c r="A360" t="inlineStr">
        <is>
          <t>Sat Oct 03  3:30 PM ET</t>
        </is>
      </c>
      <c r="B360" t="n">
        <v>5</v>
      </c>
      <c r="C360" t="inlineStr">
        <is>
          <t>Auburn</t>
        </is>
      </c>
      <c r="D360" t="inlineStr">
        <is>
          <t>Tennessee</t>
        </is>
      </c>
      <c r="E360" t="inlineStr">
        <is>
          <t>Neyland Stadium</t>
        </is>
      </c>
      <c r="F360" t="inlineStr"/>
      <c r="G360" t="inlineStr">
        <is>
          <t>Auburn|Tennessee</t>
        </is>
      </c>
    </row>
    <row r="361">
      <c r="A361" t="inlineStr">
        <is>
          <t>Sat Oct 03  3:30 PM ET</t>
        </is>
      </c>
      <c r="B361" t="n">
        <v>5</v>
      </c>
      <c r="C361" t="inlineStr">
        <is>
          <t>Samford</t>
        </is>
      </c>
      <c r="D361" t="inlineStr">
        <is>
          <t>UAB</t>
        </is>
      </c>
      <c r="E361" t="inlineStr">
        <is>
          <t>Protective Stadium</t>
        </is>
      </c>
      <c r="F361" t="inlineStr"/>
      <c r="G361" t="inlineStr">
        <is>
          <t>Samford|UAB</t>
        </is>
      </c>
    </row>
    <row r="362">
      <c r="A362" t="inlineStr">
        <is>
          <t>Sat Oct 03  3:30 PM ET</t>
        </is>
      </c>
      <c r="B362" t="n">
        <v>5</v>
      </c>
      <c r="C362" t="inlineStr">
        <is>
          <t>California</t>
        </is>
      </c>
      <c r="D362" t="inlineStr">
        <is>
          <t>UNLV</t>
        </is>
      </c>
      <c r="E362" t="inlineStr">
        <is>
          <t>Allegiant Stadium</t>
        </is>
      </c>
      <c r="F362" t="inlineStr"/>
      <c r="G362" t="inlineStr">
        <is>
          <t>California|UNLV</t>
        </is>
      </c>
    </row>
    <row r="363">
      <c r="A363" t="inlineStr">
        <is>
          <t>Sat Oct 03  3:30 PM ET</t>
        </is>
      </c>
      <c r="B363" t="n">
        <v>5</v>
      </c>
      <c r="C363" t="inlineStr">
        <is>
          <t>Old Dominion</t>
        </is>
      </c>
      <c r="D363" t="inlineStr">
        <is>
          <t>Georgia State</t>
        </is>
      </c>
      <c r="E363" t="inlineStr">
        <is>
          <t>Center Parc Stadium</t>
        </is>
      </c>
      <c r="F363" t="inlineStr"/>
      <c r="G363" t="inlineStr">
        <is>
          <t>Georgia State|Old Dominion</t>
        </is>
      </c>
    </row>
    <row r="364">
      <c r="A364" t="inlineStr">
        <is>
          <t>Sat Oct 03  3:30 PM ET</t>
        </is>
      </c>
      <c r="B364" t="n">
        <v>5</v>
      </c>
      <c r="C364" t="inlineStr">
        <is>
          <t>Memphis</t>
        </is>
      </c>
      <c r="D364" t="inlineStr">
        <is>
          <t>Charlotte</t>
        </is>
      </c>
      <c r="E364" t="inlineStr">
        <is>
          <t>Jerry Richardson Stadium</t>
        </is>
      </c>
      <c r="F364" t="inlineStr"/>
      <c r="G364" t="inlineStr">
        <is>
          <t>Charlotte|Memphis</t>
        </is>
      </c>
    </row>
    <row r="365">
      <c r="A365" t="inlineStr">
        <is>
          <t>Sat Oct 03  3:30 PM ET</t>
        </is>
      </c>
      <c r="B365" t="n">
        <v>5</v>
      </c>
      <c r="C365" t="inlineStr">
        <is>
          <t>Louisville</t>
        </is>
      </c>
      <c r="D365" t="inlineStr">
        <is>
          <t>NC State</t>
        </is>
      </c>
      <c r="E365" t="inlineStr">
        <is>
          <t>Carter-Finley Stadium</t>
        </is>
      </c>
      <c r="F365" t="inlineStr"/>
      <c r="G365" t="inlineStr">
        <is>
          <t>Louisville|NC State</t>
        </is>
      </c>
    </row>
    <row r="366">
      <c r="A366" t="inlineStr">
        <is>
          <t>Sat Oct 03  3:30 PM ET</t>
        </is>
      </c>
      <c r="B366" t="n">
        <v>5</v>
      </c>
      <c r="C366" t="inlineStr">
        <is>
          <t>Virginia</t>
        </is>
      </c>
      <c r="D366" t="inlineStr">
        <is>
          <t>Florida State</t>
        </is>
      </c>
      <c r="E366" t="inlineStr">
        <is>
          <t>Doak Campbell Stadium</t>
        </is>
      </c>
      <c r="F366" t="inlineStr"/>
      <c r="G366" t="inlineStr">
        <is>
          <t>Florida State|Virginia</t>
        </is>
      </c>
    </row>
    <row r="367">
      <c r="A367" t="inlineStr">
        <is>
          <t>Sat Oct 03  3:45 PM ET</t>
        </is>
      </c>
      <c r="B367" t="n">
        <v>5</v>
      </c>
      <c r="C367" t="inlineStr">
        <is>
          <t>Marshall</t>
        </is>
      </c>
      <c r="D367" t="inlineStr">
        <is>
          <t>James Madison</t>
        </is>
      </c>
      <c r="E367" t="inlineStr">
        <is>
          <t>Bridgeforth Stadium</t>
        </is>
      </c>
      <c r="F367" t="inlineStr"/>
      <c r="G367" t="inlineStr">
        <is>
          <t>James Madison|Marshall</t>
        </is>
      </c>
    </row>
    <row r="368">
      <c r="A368" t="inlineStr">
        <is>
          <t>Sat Oct 03  4:00 PM ET</t>
        </is>
      </c>
      <c r="B368" t="n">
        <v>5</v>
      </c>
      <c r="C368" t="inlineStr">
        <is>
          <t>UTEP</t>
        </is>
      </c>
      <c r="D368" t="inlineStr">
        <is>
          <t>New Mexico</t>
        </is>
      </c>
      <c r="E368" t="inlineStr">
        <is>
          <t>University Stadium (NM)</t>
        </is>
      </c>
      <c r="F368" t="inlineStr"/>
      <c r="G368" t="inlineStr">
        <is>
          <t>New Mexico|UTEP</t>
        </is>
      </c>
    </row>
    <row r="369">
      <c r="A369" t="inlineStr">
        <is>
          <t>Sat Oct 03  4:00 PM ET</t>
        </is>
      </c>
      <c r="B369" t="n">
        <v>5</v>
      </c>
      <c r="C369" t="inlineStr">
        <is>
          <t>Maryland</t>
        </is>
      </c>
      <c r="D369" t="inlineStr">
        <is>
          <t>Nebraska</t>
        </is>
      </c>
      <c r="E369" t="inlineStr">
        <is>
          <t>Memorial Stadium (Lincoln, NE)</t>
        </is>
      </c>
      <c r="F369" t="inlineStr"/>
      <c r="G369" t="inlineStr">
        <is>
          <t>Maryland|Nebraska</t>
        </is>
      </c>
    </row>
    <row r="370">
      <c r="A370" t="inlineStr">
        <is>
          <t>Sat Oct 03  4:15 PM ET</t>
        </is>
      </c>
      <c r="B370" t="n">
        <v>5</v>
      </c>
      <c r="C370" t="inlineStr">
        <is>
          <t>Purdue</t>
        </is>
      </c>
      <c r="D370" t="inlineStr">
        <is>
          <t>Illinois</t>
        </is>
      </c>
      <c r="E370" t="inlineStr">
        <is>
          <t>Memorial Stadium (Champaign, IL)</t>
        </is>
      </c>
      <c r="F370" t="inlineStr"/>
      <c r="G370" t="inlineStr">
        <is>
          <t>Illinois|Purdue</t>
        </is>
      </c>
    </row>
    <row r="371">
      <c r="A371" t="inlineStr">
        <is>
          <t>Sat Oct 03  4:15 PM ET</t>
        </is>
      </c>
      <c r="B371" t="n">
        <v>5</v>
      </c>
      <c r="C371" t="inlineStr">
        <is>
          <t>Kentucky</t>
        </is>
      </c>
      <c r="D371" t="inlineStr">
        <is>
          <t>South Carolina</t>
        </is>
      </c>
      <c r="E371" t="inlineStr">
        <is>
          <t>Williams-Brice Stadium</t>
        </is>
      </c>
      <c r="F371" t="inlineStr"/>
      <c r="G371" t="inlineStr">
        <is>
          <t>Kentucky|South Carolina</t>
        </is>
      </c>
    </row>
    <row r="372">
      <c r="A372" t="inlineStr">
        <is>
          <t>Sat Oct 03  6:00 PM ET</t>
        </is>
      </c>
      <c r="B372" t="n">
        <v>5</v>
      </c>
      <c r="C372" t="inlineStr">
        <is>
          <t>Oregon State</t>
        </is>
      </c>
      <c r="D372" t="inlineStr">
        <is>
          <t>Colorado State</t>
        </is>
      </c>
      <c r="E372" t="inlineStr">
        <is>
          <t>Canvas Stadium</t>
        </is>
      </c>
      <c r="F372" t="inlineStr"/>
      <c r="G372" t="inlineStr">
        <is>
          <t>Colorado State|Oregon State</t>
        </is>
      </c>
    </row>
    <row r="373">
      <c r="A373" t="inlineStr">
        <is>
          <t>Sat Oct 03  6:00 PM ET</t>
        </is>
      </c>
      <c r="B373" t="n">
        <v>5</v>
      </c>
      <c r="C373" t="inlineStr">
        <is>
          <t>Texas Southern</t>
        </is>
      </c>
      <c r="D373" t="inlineStr">
        <is>
          <t>Florida Atlantic</t>
        </is>
      </c>
      <c r="E373" t="inlineStr">
        <is>
          <t>FAU Stadium</t>
        </is>
      </c>
      <c r="F373" t="inlineStr"/>
      <c r="G373" t="inlineStr">
        <is>
          <t>Florida Atlantic|Texas Southern</t>
        </is>
      </c>
    </row>
    <row r="374">
      <c r="A374" t="inlineStr">
        <is>
          <t>Sat Oct 03  7:00 PM ET</t>
        </is>
      </c>
      <c r="B374" t="n">
        <v>5</v>
      </c>
      <c r="C374" t="inlineStr">
        <is>
          <t>BYU</t>
        </is>
      </c>
      <c r="D374" t="inlineStr">
        <is>
          <t>TCU</t>
        </is>
      </c>
      <c r="E374" t="inlineStr">
        <is>
          <t>Amon G. Carter Stadium</t>
        </is>
      </c>
      <c r="F374" t="inlineStr"/>
      <c r="G374" t="inlineStr">
        <is>
          <t>BYU|TCU</t>
        </is>
      </c>
    </row>
    <row r="375">
      <c r="A375" t="inlineStr">
        <is>
          <t>Sat Oct 03  7:00 PM ET</t>
        </is>
      </c>
      <c r="B375" t="n">
        <v>5</v>
      </c>
      <c r="C375" t="inlineStr">
        <is>
          <t>UTSA</t>
        </is>
      </c>
      <c r="D375" t="inlineStr">
        <is>
          <t>Rice</t>
        </is>
      </c>
      <c r="E375" t="inlineStr">
        <is>
          <t>Rice Stadium</t>
        </is>
      </c>
      <c r="F375" t="inlineStr"/>
      <c r="G375" t="inlineStr">
        <is>
          <t>Rice|UTSA</t>
        </is>
      </c>
    </row>
    <row r="376">
      <c r="A376" t="inlineStr">
        <is>
          <t>Sat Oct 03  7:00 PM ET</t>
        </is>
      </c>
      <c r="B376" t="n">
        <v>5</v>
      </c>
      <c r="C376" t="inlineStr">
        <is>
          <t>Arkansas</t>
        </is>
      </c>
      <c r="D376" t="inlineStr">
        <is>
          <t>Texas A&amp;M</t>
        </is>
      </c>
      <c r="E376" t="inlineStr">
        <is>
          <t>Kyle Field</t>
        </is>
      </c>
      <c r="F376" t="inlineStr"/>
      <c r="G376" t="inlineStr">
        <is>
          <t>Arkansas|Texas A&amp;M</t>
        </is>
      </c>
    </row>
    <row r="377">
      <c r="A377" t="inlineStr">
        <is>
          <t>Sat Oct 03  7:00 PM ET</t>
        </is>
      </c>
      <c r="B377" t="n">
        <v>5</v>
      </c>
      <c r="C377" t="inlineStr">
        <is>
          <t>Georgia Southern</t>
        </is>
      </c>
      <c r="D377" t="inlineStr">
        <is>
          <t>Coastal Carolina</t>
        </is>
      </c>
      <c r="E377" t="inlineStr">
        <is>
          <t>Brooks Stadium (SC)</t>
        </is>
      </c>
      <c r="F377" t="inlineStr"/>
      <c r="G377" t="inlineStr">
        <is>
          <t>Coastal Carolina|Georgia Southern</t>
        </is>
      </c>
    </row>
    <row r="378">
      <c r="A378" t="inlineStr">
        <is>
          <t>Sat Oct 03  7:00 PM ET</t>
        </is>
      </c>
      <c r="B378" t="n">
        <v>5</v>
      </c>
      <c r="C378" t="inlineStr">
        <is>
          <t>Louisiana-Monroe</t>
        </is>
      </c>
      <c r="D378" t="inlineStr">
        <is>
          <t>South Alabama</t>
        </is>
      </c>
      <c r="E378" t="inlineStr">
        <is>
          <t>Hancock Whitney Stadium</t>
        </is>
      </c>
      <c r="F378" t="inlineStr"/>
      <c r="G378" t="inlineStr">
        <is>
          <t>Louisiana-Monroe|South Alabama</t>
        </is>
      </c>
    </row>
    <row r="379">
      <c r="A379" t="inlineStr">
        <is>
          <t>Sat Oct 03  7:30 PM ET</t>
        </is>
      </c>
      <c r="B379" t="n">
        <v>5</v>
      </c>
      <c r="C379" t="inlineStr">
        <is>
          <t>Army</t>
        </is>
      </c>
      <c r="D379" t="inlineStr">
        <is>
          <t>Louisiana Tech</t>
        </is>
      </c>
      <c r="E379" t="inlineStr">
        <is>
          <t>Joe Aillet Stadium</t>
        </is>
      </c>
      <c r="F379" t="inlineStr"/>
      <c r="G379" t="inlineStr">
        <is>
          <t>Army|Louisiana Tech</t>
        </is>
      </c>
    </row>
    <row r="380">
      <c r="A380" t="inlineStr">
        <is>
          <t>Sat Oct 03  7:30 PM ET</t>
        </is>
      </c>
      <c r="B380" t="n">
        <v>5</v>
      </c>
      <c r="C380" t="inlineStr">
        <is>
          <t>Utah State</t>
        </is>
      </c>
      <c r="D380" t="inlineStr">
        <is>
          <t>Boise State</t>
        </is>
      </c>
      <c r="E380" t="inlineStr">
        <is>
          <t>Albertsons Stadium</t>
        </is>
      </c>
      <c r="F380" t="inlineStr"/>
      <c r="G380" t="inlineStr">
        <is>
          <t>Boise State|Utah State</t>
        </is>
      </c>
    </row>
    <row r="381">
      <c r="A381" t="inlineStr">
        <is>
          <t>Sat Oct 03  7:30 PM ET</t>
        </is>
      </c>
      <c r="B381" t="n">
        <v>5</v>
      </c>
      <c r="C381" t="inlineStr">
        <is>
          <t>Texas Tech</t>
        </is>
      </c>
      <c r="D381" t="inlineStr">
        <is>
          <t>Colorado</t>
        </is>
      </c>
      <c r="E381" t="inlineStr">
        <is>
          <t>Folsom Field</t>
        </is>
      </c>
      <c r="F381" t="inlineStr"/>
      <c r="G381" t="inlineStr">
        <is>
          <t>Colorado|Texas Tech</t>
        </is>
      </c>
    </row>
    <row r="382">
      <c r="A382" t="inlineStr">
        <is>
          <t>Sat Oct 03  7:30 PM ET</t>
        </is>
      </c>
      <c r="B382" t="n">
        <v>5</v>
      </c>
      <c r="C382" t="inlineStr">
        <is>
          <t>Temple</t>
        </is>
      </c>
      <c r="D382" t="inlineStr">
        <is>
          <t>South Florida</t>
        </is>
      </c>
      <c r="E382" t="inlineStr">
        <is>
          <t>Raymond James Stadium</t>
        </is>
      </c>
      <c r="F382" t="inlineStr"/>
      <c r="G382" t="inlineStr">
        <is>
          <t>South Florida|Temple</t>
        </is>
      </c>
    </row>
    <row r="383">
      <c r="A383" t="inlineStr">
        <is>
          <t>Sat Oct 03  7:30 PM ET</t>
        </is>
      </c>
      <c r="B383" t="n">
        <v>5</v>
      </c>
      <c r="C383" t="inlineStr">
        <is>
          <t>Washington</t>
        </is>
      </c>
      <c r="D383" t="inlineStr">
        <is>
          <t>USC</t>
        </is>
      </c>
      <c r="E383" t="inlineStr">
        <is>
          <t>Los Angeles Memorial Coliseum</t>
        </is>
      </c>
      <c r="F383" t="inlineStr"/>
      <c r="G383" t="inlineStr">
        <is>
          <t>USC|Washington</t>
        </is>
      </c>
    </row>
    <row r="384">
      <c r="A384" t="inlineStr">
        <is>
          <t>Sat Oct 03  7:45 PM ET</t>
        </is>
      </c>
      <c r="B384" t="n">
        <v>5</v>
      </c>
      <c r="C384" t="inlineStr">
        <is>
          <t>McNeese</t>
        </is>
      </c>
      <c r="D384" t="inlineStr">
        <is>
          <t>LSU</t>
        </is>
      </c>
      <c r="E384" t="inlineStr">
        <is>
          <t>Tiger Stadium (LA)</t>
        </is>
      </c>
      <c r="F384" t="inlineStr"/>
      <c r="G384" t="inlineStr">
        <is>
          <t>LSU|McNeese</t>
        </is>
      </c>
    </row>
    <row r="385">
      <c r="A385" t="inlineStr">
        <is>
          <t>Sat Oct 03  8:00 PM ET</t>
        </is>
      </c>
      <c r="B385" t="n">
        <v>5</v>
      </c>
      <c r="C385" t="inlineStr">
        <is>
          <t>Indiana</t>
        </is>
      </c>
      <c r="D385" t="inlineStr">
        <is>
          <t>Rutgers</t>
        </is>
      </c>
      <c r="E385" t="inlineStr">
        <is>
          <t>SHI Stadium</t>
        </is>
      </c>
      <c r="F385" t="inlineStr"/>
      <c r="G385" t="inlineStr">
        <is>
          <t>Indiana|Rutgers</t>
        </is>
      </c>
    </row>
    <row r="386">
      <c r="A386" t="inlineStr">
        <is>
          <t>Sat Oct 03  8:00 PM ET</t>
        </is>
      </c>
      <c r="B386" t="n">
        <v>5</v>
      </c>
      <c r="C386" t="inlineStr">
        <is>
          <t>Arkansas State</t>
        </is>
      </c>
      <c r="D386" t="inlineStr">
        <is>
          <t>Louisiana</t>
        </is>
      </c>
      <c r="E386" t="inlineStr">
        <is>
          <t>Cajun Field</t>
        </is>
      </c>
      <c r="F386" t="inlineStr"/>
      <c r="G386" t="inlineStr">
        <is>
          <t>Arkansas State|Louisiana</t>
        </is>
      </c>
    </row>
    <row r="387">
      <c r="A387" t="inlineStr">
        <is>
          <t>Sat Oct 03  9:30 PM ET</t>
        </is>
      </c>
      <c r="B387" t="n">
        <v>5</v>
      </c>
      <c r="C387" t="inlineStr">
        <is>
          <t>Fresno State</t>
        </is>
      </c>
      <c r="D387" t="inlineStr">
        <is>
          <t>Washington State</t>
        </is>
      </c>
      <c r="E387" t="inlineStr">
        <is>
          <t>Gesa Field</t>
        </is>
      </c>
      <c r="F387" t="inlineStr"/>
      <c r="G387" t="inlineStr">
        <is>
          <t>Fresno State|Washington State</t>
        </is>
      </c>
    </row>
    <row r="388">
      <c r="A388" t="inlineStr">
        <is>
          <t>Sat Oct 03  10:30 PM ET</t>
        </is>
      </c>
      <c r="B388" t="n">
        <v>5</v>
      </c>
      <c r="C388" t="inlineStr">
        <is>
          <t>Texas State</t>
        </is>
      </c>
      <c r="D388" t="inlineStr">
        <is>
          <t>San Diego State</t>
        </is>
      </c>
      <c r="E388" t="inlineStr">
        <is>
          <t>Snapdragon Stadium</t>
        </is>
      </c>
      <c r="F388" t="inlineStr"/>
      <c r="G388" t="inlineStr">
        <is>
          <t>San Diego State|Texas State</t>
        </is>
      </c>
    </row>
    <row r="389">
      <c r="A389" t="inlineStr">
        <is>
          <t>Sat Oct 03  10:30 PM ET</t>
        </is>
      </c>
      <c r="B389" t="n">
        <v>5</v>
      </c>
      <c r="C389" t="inlineStr">
        <is>
          <t>Baylor</t>
        </is>
      </c>
      <c r="D389" t="inlineStr">
        <is>
          <t>Arizona State</t>
        </is>
      </c>
      <c r="E389" t="inlineStr">
        <is>
          <t>Mountain America Stadium</t>
        </is>
      </c>
      <c r="F389" t="inlineStr"/>
      <c r="G389" t="inlineStr">
        <is>
          <t>Arizona State|Baylor</t>
        </is>
      </c>
    </row>
    <row r="390">
      <c r="A390" t="inlineStr">
        <is>
          <t>Sat Oct 03  11:00 PM ET</t>
        </is>
      </c>
      <c r="B390" t="n">
        <v>5</v>
      </c>
      <c r="C390" t="inlineStr">
        <is>
          <t>Cincinnati</t>
        </is>
      </c>
      <c r="D390" t="inlineStr">
        <is>
          <t>Arizona</t>
        </is>
      </c>
      <c r="E390" t="inlineStr">
        <is>
          <t>Arizona Stadium</t>
        </is>
      </c>
      <c r="F390" t="inlineStr"/>
      <c r="G390" t="inlineStr">
        <is>
          <t>Arizona|Cincinnati</t>
        </is>
      </c>
    </row>
    <row r="391">
      <c r="A391" t="inlineStr">
        <is>
          <t>Sat Oct 03  11:59 PM ET</t>
        </is>
      </c>
      <c r="B391" t="n">
        <v>5</v>
      </c>
      <c r="C391" t="inlineStr">
        <is>
          <t>San Jose State</t>
        </is>
      </c>
      <c r="D391" t="inlineStr">
        <is>
          <t>Hawaii</t>
        </is>
      </c>
      <c r="E391" t="inlineStr">
        <is>
          <t>Clarence T.C. Ching Athletics Complex</t>
        </is>
      </c>
      <c r="F391" t="inlineStr"/>
      <c r="G391" t="inlineStr">
        <is>
          <t>Hawaii|San Jose State</t>
        </is>
      </c>
    </row>
    <row r="392">
      <c r="A392" t="inlineStr">
        <is>
          <t>Tue Oct 06  8:00 PM ET</t>
        </is>
      </c>
      <c r="B392" t="n">
        <v>6</v>
      </c>
      <c r="C392" t="inlineStr">
        <is>
          <t>Southern Miss</t>
        </is>
      </c>
      <c r="D392" t="inlineStr">
        <is>
          <t>Troy</t>
        </is>
      </c>
      <c r="E392" t="inlineStr">
        <is>
          <t>Veterans Memorial Stadium (AL)</t>
        </is>
      </c>
      <c r="F392" t="inlineStr"/>
      <c r="G392" t="inlineStr">
        <is>
          <t>Southern Miss|Troy</t>
        </is>
      </c>
    </row>
    <row r="393">
      <c r="A393" t="inlineStr">
        <is>
          <t>Wed Oct 07  7:00 PM ET</t>
        </is>
      </c>
      <c r="B393" t="n">
        <v>6</v>
      </c>
      <c r="C393" t="inlineStr">
        <is>
          <t>Jacksonville State</t>
        </is>
      </c>
      <c r="D393" t="inlineStr">
        <is>
          <t>Kennesaw State</t>
        </is>
      </c>
      <c r="E393" t="inlineStr">
        <is>
          <t>Fifth Third Stadium</t>
        </is>
      </c>
      <c r="F393" t="inlineStr"/>
      <c r="G393" t="inlineStr">
        <is>
          <t>Jacksonville State|Kennesaw State</t>
        </is>
      </c>
    </row>
    <row r="394">
      <c r="A394" t="inlineStr">
        <is>
          <t>Wed Oct 07  7:30 PM ET</t>
        </is>
      </c>
      <c r="B394" t="n">
        <v>6</v>
      </c>
      <c r="C394" t="inlineStr">
        <is>
          <t>New Mexico State</t>
        </is>
      </c>
      <c r="D394" t="inlineStr">
        <is>
          <t>Florida International</t>
        </is>
      </c>
      <c r="E394" t="inlineStr">
        <is>
          <t>Pitbull Stadium</t>
        </is>
      </c>
      <c r="F394" t="inlineStr"/>
      <c r="G394" t="inlineStr">
        <is>
          <t>Florida International|New Mexico State</t>
        </is>
      </c>
    </row>
    <row r="395">
      <c r="A395" t="inlineStr">
        <is>
          <t>Thu Oct 08  7:00 PM ET</t>
        </is>
      </c>
      <c r="B395" t="n">
        <v>6</v>
      </c>
      <c r="C395" t="inlineStr">
        <is>
          <t>Sam Houston</t>
        </is>
      </c>
      <c r="D395" t="inlineStr">
        <is>
          <t>Liberty</t>
        </is>
      </c>
      <c r="E395" t="inlineStr">
        <is>
          <t>Williams Stadium (VA)</t>
        </is>
      </c>
      <c r="F395" t="inlineStr"/>
      <c r="G395" t="inlineStr">
        <is>
          <t>Liberty|Sam Houston</t>
        </is>
      </c>
    </row>
    <row r="396">
      <c r="A396" t="inlineStr">
        <is>
          <t>Thu Oct 08  7:00 PM ET</t>
        </is>
      </c>
      <c r="B396" t="n">
        <v>6</v>
      </c>
      <c r="C396" t="inlineStr">
        <is>
          <t>Missouri State</t>
        </is>
      </c>
      <c r="D396" t="inlineStr">
        <is>
          <t>Western Kentucky</t>
        </is>
      </c>
      <c r="E396" t="inlineStr">
        <is>
          <t>Houchens Industries-L.T. Smith Stadium</t>
        </is>
      </c>
      <c r="F396" t="inlineStr"/>
      <c r="G396" t="inlineStr">
        <is>
          <t>Missouri State|Western Kentucky</t>
        </is>
      </c>
    </row>
    <row r="397">
      <c r="A397" t="inlineStr">
        <is>
          <t>Thu Oct 08  7:30 PM ET</t>
        </is>
      </c>
      <c r="B397" t="n">
        <v>6</v>
      </c>
      <c r="C397" t="inlineStr">
        <is>
          <t>South Florida</t>
        </is>
      </c>
      <c r="D397" t="inlineStr">
        <is>
          <t>UTSA</t>
        </is>
      </c>
      <c r="E397" t="inlineStr">
        <is>
          <t>Alamodome</t>
        </is>
      </c>
      <c r="F397" t="inlineStr"/>
      <c r="G397" t="inlineStr">
        <is>
          <t>South Florida|UTSA</t>
        </is>
      </c>
    </row>
    <row r="398">
      <c r="A398" t="inlineStr">
        <is>
          <t>Thu Oct 08  7:30 PM ET</t>
        </is>
      </c>
      <c r="B398" t="n">
        <v>6</v>
      </c>
      <c r="C398" t="inlineStr">
        <is>
          <t>South Alabama</t>
        </is>
      </c>
      <c r="D398" t="inlineStr">
        <is>
          <t>Arkansas State</t>
        </is>
      </c>
      <c r="E398" t="inlineStr">
        <is>
          <t>Centennial Bank Stadium</t>
        </is>
      </c>
      <c r="F398" t="inlineStr"/>
      <c r="G398" t="inlineStr">
        <is>
          <t>Arkansas State|South Alabama</t>
        </is>
      </c>
    </row>
    <row r="399">
      <c r="A399" t="inlineStr">
        <is>
          <t>Fri Oct 09  7:00 PM ET</t>
        </is>
      </c>
      <c r="B399" t="n">
        <v>6</v>
      </c>
      <c r="C399" t="inlineStr">
        <is>
          <t>Florida State</t>
        </is>
      </c>
      <c r="D399" t="inlineStr">
        <is>
          <t>Louisville</t>
        </is>
      </c>
      <c r="E399" t="inlineStr">
        <is>
          <t>L&amp;N Federal Credit Union Stadium</t>
        </is>
      </c>
      <c r="F399" t="inlineStr"/>
      <c r="G399" t="inlineStr">
        <is>
          <t>Florida State|Louisville</t>
        </is>
      </c>
    </row>
    <row r="400">
      <c r="A400" t="inlineStr">
        <is>
          <t>Fri Oct 09  9:00 PM ET</t>
        </is>
      </c>
      <c r="B400" t="n">
        <v>6</v>
      </c>
      <c r="C400" t="inlineStr">
        <is>
          <t>Wyoming</t>
        </is>
      </c>
      <c r="D400" t="inlineStr">
        <is>
          <t>San Jose State</t>
        </is>
      </c>
      <c r="E400" t="inlineStr">
        <is>
          <t>CEFCU Stadium</t>
        </is>
      </c>
      <c r="F400" t="inlineStr"/>
      <c r="G400" t="inlineStr">
        <is>
          <t>San Jose State|Wyoming</t>
        </is>
      </c>
    </row>
    <row r="401">
      <c r="A401" t="inlineStr">
        <is>
          <t>Fri Oct 09  9:00 PM ET</t>
        </is>
      </c>
      <c r="B401" t="n">
        <v>6</v>
      </c>
      <c r="C401" t="inlineStr">
        <is>
          <t>Iowa</t>
        </is>
      </c>
      <c r="D401" t="inlineStr">
        <is>
          <t>Washington</t>
        </is>
      </c>
      <c r="E401" t="inlineStr">
        <is>
          <t>Husky Stadium</t>
        </is>
      </c>
      <c r="F401" t="inlineStr"/>
      <c r="G401" t="inlineStr">
        <is>
          <t>Iowa|Washington</t>
        </is>
      </c>
    </row>
    <row r="402">
      <c r="A402" t="inlineStr">
        <is>
          <t>Fri Oct 09  9:00 PM ET</t>
        </is>
      </c>
      <c r="B402" t="n">
        <v>6</v>
      </c>
      <c r="C402" t="inlineStr">
        <is>
          <t>Washington State</t>
        </is>
      </c>
      <c r="D402" t="inlineStr">
        <is>
          <t>Utah State</t>
        </is>
      </c>
      <c r="E402" t="inlineStr">
        <is>
          <t>Maverik Stadium</t>
        </is>
      </c>
      <c r="F402" t="inlineStr"/>
      <c r="G402" t="inlineStr">
        <is>
          <t>Utah State|Washington State</t>
        </is>
      </c>
    </row>
    <row r="403">
      <c r="A403" t="inlineStr">
        <is>
          <t>Fri Oct 09  10:15 PM ET</t>
        </is>
      </c>
      <c r="B403" t="n">
        <v>6</v>
      </c>
      <c r="C403" t="inlineStr">
        <is>
          <t>Iowa State</t>
        </is>
      </c>
      <c r="D403" t="inlineStr">
        <is>
          <t>BYU</t>
        </is>
      </c>
      <c r="E403" t="inlineStr">
        <is>
          <t>LaVell Edwards Stadium</t>
        </is>
      </c>
      <c r="F403" t="inlineStr"/>
      <c r="G403" t="inlineStr">
        <is>
          <t>BYU|Iowa State</t>
        </is>
      </c>
    </row>
    <row r="404">
      <c r="A404" t="inlineStr">
        <is>
          <t>Sat Oct 10  TBD</t>
        </is>
      </c>
      <c r="B404" t="n">
        <v>6</v>
      </c>
      <c r="C404" t="inlineStr">
        <is>
          <t>South Carolina</t>
        </is>
      </c>
      <c r="D404" t="inlineStr">
        <is>
          <t>Florida</t>
        </is>
      </c>
      <c r="E404" t="inlineStr">
        <is>
          <t>Ben Hill Griffin Stadium</t>
        </is>
      </c>
      <c r="F404" t="inlineStr"/>
      <c r="G404" t="inlineStr">
        <is>
          <t>Florida|South Carolina</t>
        </is>
      </c>
    </row>
    <row r="405">
      <c r="A405" t="inlineStr">
        <is>
          <t>Sat Oct 10  TBD</t>
        </is>
      </c>
      <c r="B405" t="n">
        <v>6</v>
      </c>
      <c r="C405" t="inlineStr">
        <is>
          <t>LSU</t>
        </is>
      </c>
      <c r="D405" t="inlineStr">
        <is>
          <t>Kentucky</t>
        </is>
      </c>
      <c r="E405" t="inlineStr">
        <is>
          <t>Kroger Field</t>
        </is>
      </c>
      <c r="F405" t="inlineStr"/>
      <c r="G405" t="inlineStr">
        <is>
          <t>Kentucky|LSU</t>
        </is>
      </c>
    </row>
    <row r="406">
      <c r="A406" t="inlineStr">
        <is>
          <t>Sat Oct 10  TBD</t>
        </is>
      </c>
      <c r="B406" t="n">
        <v>6</v>
      </c>
      <c r="C406" t="inlineStr">
        <is>
          <t>Texas A&amp;M</t>
        </is>
      </c>
      <c r="D406" t="inlineStr">
        <is>
          <t>Missouri</t>
        </is>
      </c>
      <c r="E406" t="inlineStr">
        <is>
          <t>Memorial Stadium</t>
        </is>
      </c>
      <c r="F406" t="inlineStr"/>
      <c r="G406" t="inlineStr">
        <is>
          <t>Missouri|Texas A&amp;M</t>
        </is>
      </c>
    </row>
    <row r="407">
      <c r="A407" t="inlineStr">
        <is>
          <t>Sat Oct 10  TBD</t>
        </is>
      </c>
      <c r="B407" t="n">
        <v>6</v>
      </c>
      <c r="C407" t="inlineStr">
        <is>
          <t>Ole Miss</t>
        </is>
      </c>
      <c r="D407" t="inlineStr">
        <is>
          <t>Vanderbilt</t>
        </is>
      </c>
      <c r="E407" t="inlineStr">
        <is>
          <t>FirstBank Stadium</t>
        </is>
      </c>
      <c r="F407" t="inlineStr"/>
      <c r="G407" t="inlineStr">
        <is>
          <t>Ole Miss|Vanderbilt</t>
        </is>
      </c>
    </row>
    <row r="408">
      <c r="A408" t="inlineStr">
        <is>
          <t>Sat Oct 10  TBD</t>
        </is>
      </c>
      <c r="B408" t="n">
        <v>6</v>
      </c>
      <c r="C408" t="inlineStr">
        <is>
          <t>UCF</t>
        </is>
      </c>
      <c r="D408" t="inlineStr">
        <is>
          <t>Oklahoma State</t>
        </is>
      </c>
      <c r="E408" t="inlineStr">
        <is>
          <t>Boone Pickens Stadium</t>
        </is>
      </c>
      <c r="F408" t="inlineStr"/>
      <c r="G408" t="inlineStr">
        <is>
          <t>Oklahoma State|UCF</t>
        </is>
      </c>
    </row>
    <row r="409">
      <c r="A409" t="inlineStr">
        <is>
          <t>Sat Oct 10  TBD</t>
        </is>
      </c>
      <c r="B409" t="n">
        <v>6</v>
      </c>
      <c r="C409" t="inlineStr">
        <is>
          <t>Hawaii</t>
        </is>
      </c>
      <c r="D409" t="inlineStr">
        <is>
          <t>Arizona State</t>
        </is>
      </c>
      <c r="E409" t="inlineStr">
        <is>
          <t>Mountain America Stadium</t>
        </is>
      </c>
      <c r="F409" t="inlineStr"/>
      <c r="G409" t="inlineStr">
        <is>
          <t>Arizona State|Hawaii</t>
        </is>
      </c>
    </row>
    <row r="410">
      <c r="A410" t="inlineStr">
        <is>
          <t>Sat Oct 10  TBD</t>
        </is>
      </c>
      <c r="B410" t="n">
        <v>6</v>
      </c>
      <c r="C410" t="inlineStr">
        <is>
          <t>Kansas</t>
        </is>
      </c>
      <c r="D410" t="inlineStr">
        <is>
          <t>Utah</t>
        </is>
      </c>
      <c r="E410" t="inlineStr">
        <is>
          <t>Rice-Eccles Stadium</t>
        </is>
      </c>
      <c r="F410" t="inlineStr"/>
      <c r="G410" t="inlineStr">
        <is>
          <t>Kansas|Utah</t>
        </is>
      </c>
    </row>
    <row r="411">
      <c r="A411" t="inlineStr">
        <is>
          <t>Sat Oct 10  TBD</t>
        </is>
      </c>
      <c r="B411" t="n">
        <v>6</v>
      </c>
      <c r="C411" t="inlineStr">
        <is>
          <t>North Carolina</t>
        </is>
      </c>
      <c r="D411" t="inlineStr">
        <is>
          <t>Pittsburgh</t>
        </is>
      </c>
      <c r="E411" t="inlineStr">
        <is>
          <t>Acrisure Stadium</t>
        </is>
      </c>
      <c r="F411" t="inlineStr"/>
      <c r="G411" t="inlineStr">
        <is>
          <t>North Carolina|Pittsburgh</t>
        </is>
      </c>
    </row>
    <row r="412">
      <c r="A412" t="inlineStr">
        <is>
          <t>Sat Oct 10  TBD</t>
        </is>
      </c>
      <c r="B412" t="n">
        <v>6</v>
      </c>
      <c r="C412" t="inlineStr">
        <is>
          <t>Wake Forest</t>
        </is>
      </c>
      <c r="D412" t="inlineStr">
        <is>
          <t>NC State</t>
        </is>
      </c>
      <c r="E412" t="inlineStr">
        <is>
          <t>Carter-Finley Stadium</t>
        </is>
      </c>
      <c r="F412" t="inlineStr"/>
      <c r="G412" t="inlineStr">
        <is>
          <t>NC State|Wake Forest</t>
        </is>
      </c>
    </row>
    <row r="413">
      <c r="A413" t="inlineStr">
        <is>
          <t>Sat Oct 10  TBD</t>
        </is>
      </c>
      <c r="B413" t="n">
        <v>6</v>
      </c>
      <c r="C413" t="inlineStr">
        <is>
          <t>Illinois</t>
        </is>
      </c>
      <c r="D413" t="inlineStr">
        <is>
          <t>Michigan State</t>
        </is>
      </c>
      <c r="E413" t="inlineStr">
        <is>
          <t>Spartan Stadium</t>
        </is>
      </c>
      <c r="F413" t="inlineStr"/>
      <c r="G413" t="inlineStr">
        <is>
          <t>Illinois|Michigan State</t>
        </is>
      </c>
    </row>
    <row r="414">
      <c r="A414" t="inlineStr">
        <is>
          <t>Sat Oct 10  TBD</t>
        </is>
      </c>
      <c r="B414" t="n">
        <v>6</v>
      </c>
      <c r="C414" t="inlineStr">
        <is>
          <t>Indiana</t>
        </is>
      </c>
      <c r="D414" t="inlineStr">
        <is>
          <t>Nebraska</t>
        </is>
      </c>
      <c r="E414" t="inlineStr">
        <is>
          <t>Memorial Stadium (Lincoln, NE)</t>
        </is>
      </c>
      <c r="F414" t="inlineStr"/>
      <c r="G414" t="inlineStr">
        <is>
          <t>Indiana|Nebraska</t>
        </is>
      </c>
    </row>
    <row r="415">
      <c r="A415" t="inlineStr">
        <is>
          <t>Sat Oct 10  TBD</t>
        </is>
      </c>
      <c r="B415" t="n">
        <v>6</v>
      </c>
      <c r="C415" t="inlineStr">
        <is>
          <t>Maryland</t>
        </is>
      </c>
      <c r="D415" t="inlineStr">
        <is>
          <t>Ohio State</t>
        </is>
      </c>
      <c r="E415" t="inlineStr">
        <is>
          <t>Ohio Stadium</t>
        </is>
      </c>
      <c r="F415" t="inlineStr"/>
      <c r="G415" t="inlineStr">
        <is>
          <t>Maryland|Ohio State</t>
        </is>
      </c>
    </row>
    <row r="416">
      <c r="A416" t="inlineStr">
        <is>
          <t>Sat Oct 10  TBD</t>
        </is>
      </c>
      <c r="B416" t="n">
        <v>6</v>
      </c>
      <c r="C416" t="inlineStr">
        <is>
          <t>Miami (OH)</t>
        </is>
      </c>
      <c r="D416" t="inlineStr">
        <is>
          <t>UMass</t>
        </is>
      </c>
      <c r="E416" t="inlineStr">
        <is>
          <t>Warren McGuirk Alumni Stadium</t>
        </is>
      </c>
      <c r="F416" t="inlineStr"/>
      <c r="G416" t="inlineStr">
        <is>
          <t>Miami (OH)|UMass</t>
        </is>
      </c>
    </row>
    <row r="417">
      <c r="A417" t="inlineStr">
        <is>
          <t>Sat Oct 10  TBD</t>
        </is>
      </c>
      <c r="B417" t="n">
        <v>6</v>
      </c>
      <c r="C417" t="inlineStr">
        <is>
          <t>UCLA</t>
        </is>
      </c>
      <c r="D417" t="inlineStr">
        <is>
          <t>Oregon</t>
        </is>
      </c>
      <c r="E417" t="inlineStr">
        <is>
          <t>Autzen Stadium</t>
        </is>
      </c>
      <c r="F417" t="inlineStr"/>
      <c r="G417" t="inlineStr">
        <is>
          <t>Oregon|UCLA</t>
        </is>
      </c>
    </row>
    <row r="418">
      <c r="A418" t="inlineStr">
        <is>
          <t>Sat Oct 10  TBD</t>
        </is>
      </c>
      <c r="B418" t="n">
        <v>6</v>
      </c>
      <c r="C418" t="inlineStr">
        <is>
          <t>Rice</t>
        </is>
      </c>
      <c r="D418" t="inlineStr">
        <is>
          <t>East Carolina</t>
        </is>
      </c>
      <c r="E418" t="inlineStr">
        <is>
          <t>Dowdy-Ficklen Stadium</t>
        </is>
      </c>
      <c r="F418" t="inlineStr"/>
      <c r="G418" t="inlineStr">
        <is>
          <t>East Carolina|Rice</t>
        </is>
      </c>
    </row>
    <row r="419">
      <c r="A419" t="inlineStr">
        <is>
          <t>Sat Oct 10  TBD</t>
        </is>
      </c>
      <c r="B419" t="n">
        <v>6</v>
      </c>
      <c r="C419" t="inlineStr">
        <is>
          <t>UAB</t>
        </is>
      </c>
      <c r="D419" t="inlineStr">
        <is>
          <t>Memphis</t>
        </is>
      </c>
      <c r="E419" t="inlineStr">
        <is>
          <t>Simmons Bank Liberty Stadium</t>
        </is>
      </c>
      <c r="F419" t="inlineStr"/>
      <c r="G419" t="inlineStr">
        <is>
          <t>Memphis|UAB</t>
        </is>
      </c>
    </row>
    <row r="420">
      <c r="A420" t="inlineStr">
        <is>
          <t>Sat Oct 10  TBD</t>
        </is>
      </c>
      <c r="B420" t="n">
        <v>6</v>
      </c>
      <c r="C420" t="inlineStr">
        <is>
          <t>Kent State</t>
        </is>
      </c>
      <c r="D420" t="inlineStr">
        <is>
          <t>Western Michigan</t>
        </is>
      </c>
      <c r="E420" t="inlineStr">
        <is>
          <t>Waldo Stadium</t>
        </is>
      </c>
      <c r="F420" t="inlineStr"/>
      <c r="G420" t="inlineStr">
        <is>
          <t>Kent State|Western Michigan</t>
        </is>
      </c>
    </row>
    <row r="421">
      <c r="A421" t="inlineStr">
        <is>
          <t>Sat Oct 10  TBD</t>
        </is>
      </c>
      <c r="B421" t="n">
        <v>6</v>
      </c>
      <c r="C421" t="inlineStr">
        <is>
          <t>Old Dominion</t>
        </is>
      </c>
      <c r="D421" t="inlineStr">
        <is>
          <t>Appalachian State</t>
        </is>
      </c>
      <c r="E421" t="inlineStr">
        <is>
          <t>Kidd Brewer Stadium</t>
        </is>
      </c>
      <c r="F421" t="inlineStr"/>
      <c r="G421" t="inlineStr">
        <is>
          <t>Appalachian State|Old Dominion</t>
        </is>
      </c>
    </row>
    <row r="422">
      <c r="A422" t="inlineStr">
        <is>
          <t>Sat Oct 10  TBD</t>
        </is>
      </c>
      <c r="B422" t="n">
        <v>6</v>
      </c>
      <c r="C422" t="inlineStr">
        <is>
          <t>UConn</t>
        </is>
      </c>
      <c r="D422" t="inlineStr">
        <is>
          <t>Temple</t>
        </is>
      </c>
      <c r="E422" t="inlineStr">
        <is>
          <t>Lincoln Financial Field</t>
        </is>
      </c>
      <c r="F422" t="inlineStr"/>
      <c r="G422" t="inlineStr">
        <is>
          <t>Temple|UConn</t>
        </is>
      </c>
    </row>
    <row r="423">
      <c r="A423" t="inlineStr">
        <is>
          <t>Sat Oct 10  TBD</t>
        </is>
      </c>
      <c r="B423" t="n">
        <v>6</v>
      </c>
      <c r="C423" t="inlineStr">
        <is>
          <t>Buffalo</t>
        </is>
      </c>
      <c r="D423" t="inlineStr">
        <is>
          <t>Toledo</t>
        </is>
      </c>
      <c r="E423" t="inlineStr">
        <is>
          <t>Glass Bowl</t>
        </is>
      </c>
      <c r="F423" t="inlineStr"/>
      <c r="G423" t="inlineStr">
        <is>
          <t>Buffalo|Toledo</t>
        </is>
      </c>
    </row>
    <row r="424">
      <c r="A424" t="inlineStr">
        <is>
          <t>Sat Oct 10  TBD</t>
        </is>
      </c>
      <c r="B424" t="n">
        <v>6</v>
      </c>
      <c r="C424" t="inlineStr">
        <is>
          <t>Virginia Tech</t>
        </is>
      </c>
      <c r="D424" t="inlineStr">
        <is>
          <t>California</t>
        </is>
      </c>
      <c r="E424" t="inlineStr">
        <is>
          <t>California Memorial Stadium</t>
        </is>
      </c>
      <c r="F424" t="inlineStr"/>
      <c r="G424" t="inlineStr">
        <is>
          <t>California|Virginia Tech</t>
        </is>
      </c>
    </row>
    <row r="425">
      <c r="A425" t="inlineStr">
        <is>
          <t>Sat Oct 10  TBD</t>
        </is>
      </c>
      <c r="B425" t="n">
        <v>6</v>
      </c>
      <c r="C425" t="inlineStr">
        <is>
          <t>Syracuse</t>
        </is>
      </c>
      <c r="D425" t="inlineStr">
        <is>
          <t>Virginia</t>
        </is>
      </c>
      <c r="E425" t="inlineStr">
        <is>
          <t>Scott Stadium</t>
        </is>
      </c>
      <c r="F425" t="inlineStr"/>
      <c r="G425" t="inlineStr">
        <is>
          <t>Syracuse|Virginia</t>
        </is>
      </c>
    </row>
    <row r="426">
      <c r="A426" t="inlineStr">
        <is>
          <t>Sat Oct 10  TBD</t>
        </is>
      </c>
      <c r="B426" t="n">
        <v>6</v>
      </c>
      <c r="C426" t="inlineStr">
        <is>
          <t>Houston</t>
        </is>
      </c>
      <c r="D426" t="inlineStr">
        <is>
          <t>Kansas State</t>
        </is>
      </c>
      <c r="E426" t="inlineStr">
        <is>
          <t>Bill Snyder Family Stadium</t>
        </is>
      </c>
      <c r="F426" t="inlineStr"/>
      <c r="G426" t="inlineStr">
        <is>
          <t>Houston|Kansas State</t>
        </is>
      </c>
    </row>
    <row r="427">
      <c r="A427" t="inlineStr">
        <is>
          <t>Sat Oct 10  TBD</t>
        </is>
      </c>
      <c r="B427" t="n">
        <v>6</v>
      </c>
      <c r="C427" t="inlineStr">
        <is>
          <t>James Madison</t>
        </is>
      </c>
      <c r="D427" t="inlineStr">
        <is>
          <t>Georgia Southern</t>
        </is>
      </c>
      <c r="E427" t="inlineStr">
        <is>
          <t>Allen E. Paulson Stadium</t>
        </is>
      </c>
      <c r="F427" t="inlineStr"/>
      <c r="G427" t="inlineStr">
        <is>
          <t>Georgia Southern|James Madison</t>
        </is>
      </c>
    </row>
    <row r="428">
      <c r="A428" t="inlineStr">
        <is>
          <t>Sat Oct 10  TBD</t>
        </is>
      </c>
      <c r="B428" t="n">
        <v>6</v>
      </c>
      <c r="C428" t="inlineStr">
        <is>
          <t>Minnesota</t>
        </is>
      </c>
      <c r="D428" t="inlineStr">
        <is>
          <t>Purdue</t>
        </is>
      </c>
      <c r="E428" t="inlineStr">
        <is>
          <t>Ross-Ade Stadium</t>
        </is>
      </c>
      <c r="F428" t="inlineStr"/>
      <c r="G428" t="inlineStr">
        <is>
          <t>Minnesota|Purdue</t>
        </is>
      </c>
    </row>
    <row r="429">
      <c r="A429" t="inlineStr">
        <is>
          <t>Sat Oct 10  TBD</t>
        </is>
      </c>
      <c r="B429" t="n">
        <v>6</v>
      </c>
      <c r="C429" t="inlineStr">
        <is>
          <t>Louisiana</t>
        </is>
      </c>
      <c r="D429" t="inlineStr">
        <is>
          <t>Louisiana Tech</t>
        </is>
      </c>
      <c r="E429" t="inlineStr">
        <is>
          <t>Joe Aillet Stadium</t>
        </is>
      </c>
      <c r="F429" t="inlineStr"/>
      <c r="G429" t="inlineStr">
        <is>
          <t>Louisiana|Louisiana Tech</t>
        </is>
      </c>
    </row>
    <row r="430">
      <c r="A430" t="inlineStr">
        <is>
          <t>Sat Oct 10  TBD</t>
        </is>
      </c>
      <c r="B430" t="n">
        <v>6</v>
      </c>
      <c r="C430" t="inlineStr">
        <is>
          <t>Arizona</t>
        </is>
      </c>
      <c r="D430" t="inlineStr">
        <is>
          <t>West Virginia</t>
        </is>
      </c>
      <c r="E430" t="inlineStr">
        <is>
          <t>Milan Puskar Stadium</t>
        </is>
      </c>
      <c r="F430" t="inlineStr"/>
      <c r="G430" t="inlineStr">
        <is>
          <t>Arizona|West Virginia</t>
        </is>
      </c>
    </row>
    <row r="431">
      <c r="A431" t="inlineStr">
        <is>
          <t>Sat Oct 10  TBD</t>
        </is>
      </c>
      <c r="B431" t="n">
        <v>6</v>
      </c>
      <c r="C431" t="inlineStr">
        <is>
          <t>Nevada</t>
        </is>
      </c>
      <c r="D431" t="inlineStr">
        <is>
          <t>UTEP</t>
        </is>
      </c>
      <c r="E431" t="inlineStr">
        <is>
          <t>Sun Bowl</t>
        </is>
      </c>
      <c r="F431" t="inlineStr"/>
      <c r="G431" t="inlineStr">
        <is>
          <t>Nevada|UTEP</t>
        </is>
      </c>
    </row>
    <row r="432">
      <c r="A432" t="inlineStr">
        <is>
          <t>Sat Oct 10  TBD</t>
        </is>
      </c>
      <c r="B432" t="n">
        <v>6</v>
      </c>
      <c r="C432" t="inlineStr">
        <is>
          <t>Coastal Carolina</t>
        </is>
      </c>
      <c r="D432" t="inlineStr">
        <is>
          <t>Marshall</t>
        </is>
      </c>
      <c r="E432" t="inlineStr">
        <is>
          <t>Joan C. Edwards Stadium</t>
        </is>
      </c>
      <c r="F432" t="inlineStr"/>
      <c r="G432" t="inlineStr">
        <is>
          <t>Coastal Carolina|Marshall</t>
        </is>
      </c>
    </row>
    <row r="433">
      <c r="A433" t="inlineStr">
        <is>
          <t>Sat Oct 10  TBD</t>
        </is>
      </c>
      <c r="B433" t="n">
        <v>6</v>
      </c>
      <c r="C433" t="inlineStr">
        <is>
          <t>Duke</t>
        </is>
      </c>
      <c r="D433" t="inlineStr">
        <is>
          <t>Georgia Tech</t>
        </is>
      </c>
      <c r="E433" t="inlineStr">
        <is>
          <t>Bobby Dodd Stadium</t>
        </is>
      </c>
      <c r="F433" t="inlineStr"/>
      <c r="G433" t="inlineStr">
        <is>
          <t>Duke|Georgia Tech</t>
        </is>
      </c>
    </row>
    <row r="434">
      <c r="A434" t="inlineStr">
        <is>
          <t>Sat Oct 10  TBD</t>
        </is>
      </c>
      <c r="B434" t="n">
        <v>6</v>
      </c>
      <c r="C434" t="inlineStr">
        <is>
          <t>Central Michigan</t>
        </is>
      </c>
      <c r="D434" t="inlineStr">
        <is>
          <t>Ohio</t>
        </is>
      </c>
      <c r="E434" t="inlineStr">
        <is>
          <t>Peden Stadium</t>
        </is>
      </c>
      <c r="F434" t="inlineStr"/>
      <c r="G434" t="inlineStr">
        <is>
          <t>Central Michigan|Ohio</t>
        </is>
      </c>
    </row>
    <row r="435">
      <c r="A435" t="inlineStr">
        <is>
          <t>Sat Oct 10  TBD</t>
        </is>
      </c>
      <c r="B435" t="n">
        <v>6</v>
      </c>
      <c r="C435" t="inlineStr">
        <is>
          <t>Georgia</t>
        </is>
      </c>
      <c r="D435" t="inlineStr">
        <is>
          <t>Alabama</t>
        </is>
      </c>
      <c r="E435" t="inlineStr">
        <is>
          <t>Bryant-Denny Stadium</t>
        </is>
      </c>
      <c r="F435" t="inlineStr"/>
      <c r="G435" t="inlineStr">
        <is>
          <t>Alabama|Georgia</t>
        </is>
      </c>
    </row>
    <row r="436">
      <c r="A436" t="inlineStr">
        <is>
          <t>Sat Oct 10  TBD</t>
        </is>
      </c>
      <c r="B436" t="n">
        <v>6</v>
      </c>
      <c r="C436" t="inlineStr">
        <is>
          <t>USC</t>
        </is>
      </c>
      <c r="D436" t="inlineStr">
        <is>
          <t>Penn State</t>
        </is>
      </c>
      <c r="E436" t="inlineStr">
        <is>
          <t>Beaver Stadium</t>
        </is>
      </c>
      <c r="F436" t="inlineStr"/>
      <c r="G436" t="inlineStr">
        <is>
          <t>Penn State|USC</t>
        </is>
      </c>
    </row>
    <row r="437">
      <c r="A437" t="inlineStr">
        <is>
          <t>Sat Oct 10  TBD</t>
        </is>
      </c>
      <c r="B437" t="n">
        <v>6</v>
      </c>
      <c r="C437" t="inlineStr">
        <is>
          <t>Sacramento State</t>
        </is>
      </c>
      <c r="D437" t="inlineStr">
        <is>
          <t>Bowling Green</t>
        </is>
      </c>
      <c r="E437" t="inlineStr">
        <is>
          <t>Doyt L. Perry Stadium</t>
        </is>
      </c>
      <c r="F437" t="inlineStr"/>
      <c r="G437" t="inlineStr">
        <is>
          <t>Bowling Green|Sacramento State</t>
        </is>
      </c>
    </row>
    <row r="438">
      <c r="A438" t="inlineStr">
        <is>
          <t>Sat Oct 10  TBD</t>
        </is>
      </c>
      <c r="B438" t="n">
        <v>6</v>
      </c>
      <c r="C438" t="inlineStr">
        <is>
          <t>Tennessee</t>
        </is>
      </c>
      <c r="D438" t="inlineStr">
        <is>
          <t>Arkansas</t>
        </is>
      </c>
      <c r="E438" t="inlineStr">
        <is>
          <t>Razorback Stadium</t>
        </is>
      </c>
      <c r="F438" t="inlineStr"/>
      <c r="G438" t="inlineStr">
        <is>
          <t>Arkansas|Tennessee</t>
        </is>
      </c>
    </row>
    <row r="439">
      <c r="A439" t="inlineStr">
        <is>
          <t>Sat Oct 10  TBD</t>
        </is>
      </c>
      <c r="B439" t="n">
        <v>6</v>
      </c>
      <c r="C439" t="inlineStr">
        <is>
          <t>Ball State</t>
        </is>
      </c>
      <c r="D439" t="inlineStr">
        <is>
          <t>Northwestern</t>
        </is>
      </c>
      <c r="E439" t="inlineStr">
        <is>
          <t>Ryan Field</t>
        </is>
      </c>
      <c r="F439" t="inlineStr"/>
      <c r="G439" t="inlineStr">
        <is>
          <t>Ball State|Northwestern</t>
        </is>
      </c>
    </row>
    <row r="440">
      <c r="A440" t="inlineStr">
        <is>
          <t>Sat Oct 10  TBD</t>
        </is>
      </c>
      <c r="B440" t="n">
        <v>6</v>
      </c>
      <c r="C440" t="inlineStr">
        <is>
          <t>Charlotte</t>
        </is>
      </c>
      <c r="D440" t="inlineStr">
        <is>
          <t>North Texas</t>
        </is>
      </c>
      <c r="E440" t="inlineStr">
        <is>
          <t>DATCU Stadium</t>
        </is>
      </c>
      <c r="F440" t="inlineStr"/>
      <c r="G440" t="inlineStr">
        <is>
          <t>Charlotte|North Texas</t>
        </is>
      </c>
    </row>
    <row r="441">
      <c r="A441" t="inlineStr">
        <is>
          <t>Sat Oct 10  12:00 PM ET</t>
        </is>
      </c>
      <c r="B441" t="n">
        <v>6</v>
      </c>
      <c r="C441" t="inlineStr">
        <is>
          <t>Tulane</t>
        </is>
      </c>
      <c r="D441" t="inlineStr">
        <is>
          <t>Army</t>
        </is>
      </c>
      <c r="E441" t="inlineStr">
        <is>
          <t>Michie Stadium</t>
        </is>
      </c>
      <c r="F441" t="inlineStr"/>
      <c r="G441" t="inlineStr">
        <is>
          <t>Army|Tulane</t>
        </is>
      </c>
    </row>
    <row r="442">
      <c r="A442" t="inlineStr">
        <is>
          <t>Sat Oct 10  3:30 PM ET</t>
        </is>
      </c>
      <c r="B442" t="n">
        <v>6</v>
      </c>
      <c r="C442" t="inlineStr">
        <is>
          <t>Eastern Michigan</t>
        </is>
      </c>
      <c r="D442" t="inlineStr">
        <is>
          <t>Akron</t>
        </is>
      </c>
      <c r="E442" t="inlineStr">
        <is>
          <t>InfoCision Stadium</t>
        </is>
      </c>
      <c r="F442" t="inlineStr"/>
      <c r="G442" t="inlineStr">
        <is>
          <t>Akron|Eastern Michigan</t>
        </is>
      </c>
    </row>
    <row r="443">
      <c r="A443" t="inlineStr">
        <is>
          <t>Sat Oct 10  3:30 PM ET</t>
        </is>
      </c>
      <c r="B443" t="n">
        <v>6</v>
      </c>
      <c r="C443" t="inlineStr">
        <is>
          <t>Tulsa</t>
        </is>
      </c>
      <c r="D443" t="inlineStr">
        <is>
          <t>Navy</t>
        </is>
      </c>
      <c r="E443" t="inlineStr">
        <is>
          <t>Navy-Marine Corps Memorial Stadium</t>
        </is>
      </c>
      <c r="F443" t="inlineStr"/>
      <c r="G443" t="inlineStr">
        <is>
          <t>Navy|Tulsa</t>
        </is>
      </c>
    </row>
    <row r="444">
      <c r="A444" t="inlineStr">
        <is>
          <t>Sat Oct 10  3:30 PM ET</t>
        </is>
      </c>
      <c r="B444" t="n">
        <v>6</v>
      </c>
      <c r="C444" t="inlineStr">
        <is>
          <t>Texas</t>
        </is>
      </c>
      <c r="D444" t="inlineStr">
        <is>
          <t>Oklahoma</t>
        </is>
      </c>
      <c r="E444" t="inlineStr">
        <is>
          <t>Neutral site</t>
        </is>
      </c>
      <c r="F444" t="inlineStr"/>
      <c r="G444" t="inlineStr">
        <is>
          <t>Oklahoma|Texas</t>
        </is>
      </c>
    </row>
    <row r="445">
      <c r="A445" t="inlineStr">
        <is>
          <t>Sat Oct 10  3:30 PM ET</t>
        </is>
      </c>
      <c r="B445" t="n">
        <v>6</v>
      </c>
      <c r="C445" t="inlineStr">
        <is>
          <t>Stanford</t>
        </is>
      </c>
      <c r="D445" t="inlineStr">
        <is>
          <t>Notre Dame</t>
        </is>
      </c>
      <c r="E445" t="inlineStr">
        <is>
          <t>Notre Dame Stadium</t>
        </is>
      </c>
      <c r="F445" t="inlineStr"/>
      <c r="G445" t="inlineStr">
        <is>
          <t>Notre Dame|Stanford</t>
        </is>
      </c>
    </row>
    <row r="446">
      <c r="A446" t="inlineStr">
        <is>
          <t>Sat Oct 10  6:00 PM ET</t>
        </is>
      </c>
      <c r="B446" t="n">
        <v>6</v>
      </c>
      <c r="C446" t="inlineStr">
        <is>
          <t>San Diego State</t>
        </is>
      </c>
      <c r="D446" t="inlineStr">
        <is>
          <t>Oregon State</t>
        </is>
      </c>
      <c r="E446" t="inlineStr">
        <is>
          <t>Reser Stadium</t>
        </is>
      </c>
      <c r="F446" t="inlineStr"/>
      <c r="G446" t="inlineStr">
        <is>
          <t>Oregon State|San Diego State</t>
        </is>
      </c>
    </row>
    <row r="447">
      <c r="A447" t="inlineStr">
        <is>
          <t>Sat Oct 10  7:00 PM ET</t>
        </is>
      </c>
      <c r="B447" t="n">
        <v>6</v>
      </c>
      <c r="C447" t="inlineStr">
        <is>
          <t>North Dakota State</t>
        </is>
      </c>
      <c r="D447" t="inlineStr">
        <is>
          <t>UNLV</t>
        </is>
      </c>
      <c r="E447" t="inlineStr">
        <is>
          <t>Allegiant Stadium</t>
        </is>
      </c>
      <c r="F447" t="inlineStr"/>
      <c r="G447" t="inlineStr">
        <is>
          <t>North Dakota State|UNLV</t>
        </is>
      </c>
    </row>
    <row r="448">
      <c r="A448" t="inlineStr">
        <is>
          <t>Sat Oct 10  7:30 PM ET</t>
        </is>
      </c>
      <c r="B448" t="n">
        <v>6</v>
      </c>
      <c r="C448" t="inlineStr">
        <is>
          <t>Air Force</t>
        </is>
      </c>
      <c r="D448" t="inlineStr">
        <is>
          <t>Northern Illinois</t>
        </is>
      </c>
      <c r="E448" t="inlineStr">
        <is>
          <t>Huskie Stadium</t>
        </is>
      </c>
      <c r="F448" t="inlineStr"/>
      <c r="G448" t="inlineStr">
        <is>
          <t>Air Force|Northern Illinois</t>
        </is>
      </c>
    </row>
    <row r="449">
      <c r="A449" t="inlineStr">
        <is>
          <t>Sat Oct 10  10:30 PM ET</t>
        </is>
      </c>
      <c r="B449" t="n">
        <v>6</v>
      </c>
      <c r="C449" t="inlineStr">
        <is>
          <t>Boise State</t>
        </is>
      </c>
      <c r="D449" t="inlineStr">
        <is>
          <t>Fresno State</t>
        </is>
      </c>
      <c r="E449" t="inlineStr">
        <is>
          <t>Valley Children's Stadium</t>
        </is>
      </c>
      <c r="F449" t="inlineStr"/>
      <c r="G449" t="inlineStr">
        <is>
          <t>Boise State|Fresno State</t>
        </is>
      </c>
    </row>
    <row r="450">
      <c r="A450" t="inlineStr">
        <is>
          <t>Tue Oct 13  7:00 PM ET</t>
        </is>
      </c>
      <c r="B450" t="n">
        <v>7</v>
      </c>
      <c r="C450" t="inlineStr">
        <is>
          <t>Delaware</t>
        </is>
      </c>
      <c r="D450" t="inlineStr">
        <is>
          <t>Middle Tennessee</t>
        </is>
      </c>
      <c r="E450" t="inlineStr">
        <is>
          <t>Johnny "Red" Floyd Stadium</t>
        </is>
      </c>
      <c r="F450" t="inlineStr"/>
      <c r="G450" t="inlineStr">
        <is>
          <t>Delaware|Middle Tennessee</t>
        </is>
      </c>
    </row>
    <row r="451">
      <c r="A451" t="inlineStr">
        <is>
          <t>Tue Oct 13  8:00 PM ET</t>
        </is>
      </c>
      <c r="B451" t="n">
        <v>7</v>
      </c>
      <c r="C451" t="inlineStr">
        <is>
          <t>Florida International</t>
        </is>
      </c>
      <c r="D451" t="inlineStr">
        <is>
          <t>Jacksonville State</t>
        </is>
      </c>
      <c r="E451" t="inlineStr">
        <is>
          <t>AmFirst Stadium</t>
        </is>
      </c>
      <c r="F451" t="inlineStr"/>
      <c r="G451" t="inlineStr">
        <is>
          <t>Florida International|Jacksonville State</t>
        </is>
      </c>
    </row>
    <row r="452">
      <c r="A452" t="inlineStr">
        <is>
          <t>Wed Oct 14  7:30 PM ET</t>
        </is>
      </c>
      <c r="B452" t="n">
        <v>7</v>
      </c>
      <c r="C452" t="inlineStr">
        <is>
          <t>Kennesaw State</t>
        </is>
      </c>
      <c r="D452" t="inlineStr">
        <is>
          <t>Missouri State</t>
        </is>
      </c>
      <c r="E452" t="inlineStr">
        <is>
          <t>Plaster Sports Complex</t>
        </is>
      </c>
      <c r="F452" t="inlineStr"/>
      <c r="G452" t="inlineStr">
        <is>
          <t>Kennesaw State|Missouri State</t>
        </is>
      </c>
    </row>
    <row r="453">
      <c r="A453" t="inlineStr">
        <is>
          <t>Wed Oct 14  8:00 PM ET</t>
        </is>
      </c>
      <c r="B453" t="n">
        <v>7</v>
      </c>
      <c r="C453" t="inlineStr">
        <is>
          <t>Western Kentucky</t>
        </is>
      </c>
      <c r="D453" t="inlineStr">
        <is>
          <t>Sam Houston</t>
        </is>
      </c>
      <c r="E453" t="inlineStr">
        <is>
          <t>Elliott T. Bowers Stadium</t>
        </is>
      </c>
      <c r="F453" t="inlineStr"/>
      <c r="G453" t="inlineStr">
        <is>
          <t>Sam Houston|Western Kentucky</t>
        </is>
      </c>
    </row>
    <row r="454">
      <c r="A454" t="inlineStr">
        <is>
          <t>Thu Oct 15  7:30 PM ET</t>
        </is>
      </c>
      <c r="B454" t="n">
        <v>7</v>
      </c>
      <c r="C454" t="inlineStr">
        <is>
          <t>East Carolina</t>
        </is>
      </c>
      <c r="D454" t="inlineStr">
        <is>
          <t>UAB</t>
        </is>
      </c>
      <c r="E454" t="inlineStr">
        <is>
          <t>Protective Stadium</t>
        </is>
      </c>
      <c r="F454" t="inlineStr"/>
      <c r="G454" t="inlineStr">
        <is>
          <t>East Carolina|UAB</t>
        </is>
      </c>
    </row>
    <row r="455">
      <c r="A455" t="inlineStr">
        <is>
          <t>Thu Oct 15  7:30 PM ET</t>
        </is>
      </c>
      <c r="B455" t="n">
        <v>7</v>
      </c>
      <c r="C455" t="inlineStr">
        <is>
          <t>Georgia Southern</t>
        </is>
      </c>
      <c r="D455" t="inlineStr">
        <is>
          <t>Old Dominion</t>
        </is>
      </c>
      <c r="E455" t="inlineStr">
        <is>
          <t>S.B. Ballard Stadium</t>
        </is>
      </c>
      <c r="F455" t="inlineStr"/>
      <c r="G455" t="inlineStr">
        <is>
          <t>Georgia Southern|Old Dominion</t>
        </is>
      </c>
    </row>
    <row r="456">
      <c r="A456" t="inlineStr">
        <is>
          <t>Thu Oct 15  8:00 PM ET</t>
        </is>
      </c>
      <c r="B456" t="n">
        <v>7</v>
      </c>
      <c r="C456" t="inlineStr">
        <is>
          <t>Colorado State</t>
        </is>
      </c>
      <c r="D456" t="inlineStr">
        <is>
          <t>Texas State</t>
        </is>
      </c>
      <c r="E456" t="inlineStr">
        <is>
          <t>Bobcat Stadium (TX)</t>
        </is>
      </c>
      <c r="F456" t="inlineStr"/>
      <c r="G456" t="inlineStr">
        <is>
          <t>Colorado State|Texas State</t>
        </is>
      </c>
    </row>
    <row r="457">
      <c r="A457" t="inlineStr">
        <is>
          <t>Fri Oct 16  7:30 PM ET</t>
        </is>
      </c>
      <c r="B457" t="n">
        <v>7</v>
      </c>
      <c r="C457" t="inlineStr">
        <is>
          <t>Memphis</t>
        </is>
      </c>
      <c r="D457" t="inlineStr">
        <is>
          <t>Tulane</t>
        </is>
      </c>
      <c r="E457" t="inlineStr">
        <is>
          <t>Yulman Stadium</t>
        </is>
      </c>
      <c r="F457" t="inlineStr"/>
      <c r="G457" t="inlineStr">
        <is>
          <t>Memphis|Tulane</t>
        </is>
      </c>
    </row>
    <row r="458">
      <c r="A458" t="inlineStr">
        <is>
          <t>Fri Oct 16  8:00 PM ET</t>
        </is>
      </c>
      <c r="B458" t="n">
        <v>7</v>
      </c>
      <c r="C458" t="inlineStr">
        <is>
          <t>Washington</t>
        </is>
      </c>
      <c r="D458" t="inlineStr">
        <is>
          <t>Purdue</t>
        </is>
      </c>
      <c r="E458" t="inlineStr">
        <is>
          <t>Ross-Ade Stadium</t>
        </is>
      </c>
      <c r="F458" t="inlineStr"/>
      <c r="G458" t="inlineStr">
        <is>
          <t>Purdue|Washington</t>
        </is>
      </c>
    </row>
    <row r="459">
      <c r="A459" t="inlineStr">
        <is>
          <t>Fri Oct 16  8:00 PM ET</t>
        </is>
      </c>
      <c r="B459" t="n">
        <v>7</v>
      </c>
      <c r="C459" t="inlineStr">
        <is>
          <t>Appalachian State</t>
        </is>
      </c>
      <c r="D459" t="inlineStr">
        <is>
          <t>Coastal Carolina</t>
        </is>
      </c>
      <c r="E459" t="inlineStr">
        <is>
          <t>Brooks Stadium (SC)</t>
        </is>
      </c>
      <c r="F459" t="inlineStr"/>
      <c r="G459" t="inlineStr">
        <is>
          <t>Appalachian State|Coastal Carolina</t>
        </is>
      </c>
    </row>
    <row r="460">
      <c r="A460" t="inlineStr">
        <is>
          <t>Sat Oct 17  TBD</t>
        </is>
      </c>
      <c r="B460" t="n">
        <v>7</v>
      </c>
      <c r="C460" t="inlineStr">
        <is>
          <t>Rutgers</t>
        </is>
      </c>
      <c r="D460" t="inlineStr">
        <is>
          <t>Maryland</t>
        </is>
      </c>
      <c r="E460" t="inlineStr">
        <is>
          <t>SECU Stadium</t>
        </is>
      </c>
      <c r="F460" t="inlineStr"/>
      <c r="G460" t="inlineStr">
        <is>
          <t>Maryland|Rutgers</t>
        </is>
      </c>
    </row>
    <row r="461">
      <c r="A461" t="inlineStr">
        <is>
          <t>Sat Oct 17  TBD</t>
        </is>
      </c>
      <c r="B461" t="n">
        <v>7</v>
      </c>
      <c r="C461" t="inlineStr">
        <is>
          <t>Mississippi State</t>
        </is>
      </c>
      <c r="D461" t="inlineStr">
        <is>
          <t>LSU</t>
        </is>
      </c>
      <c r="E461" t="inlineStr">
        <is>
          <t>Tiger Stadium (LA)</t>
        </is>
      </c>
      <c r="F461" t="inlineStr"/>
      <c r="G461" t="inlineStr">
        <is>
          <t>LSU|Mississippi State</t>
        </is>
      </c>
    </row>
    <row r="462">
      <c r="A462" t="inlineStr">
        <is>
          <t>Sat Oct 17  TBD</t>
        </is>
      </c>
      <c r="B462" t="n">
        <v>7</v>
      </c>
      <c r="C462" t="inlineStr">
        <is>
          <t>Ball State</t>
        </is>
      </c>
      <c r="D462" t="inlineStr">
        <is>
          <t>Bowling Green</t>
        </is>
      </c>
      <c r="E462" t="inlineStr">
        <is>
          <t>Doyt L. Perry Stadium</t>
        </is>
      </c>
      <c r="F462" t="inlineStr"/>
      <c r="G462" t="inlineStr">
        <is>
          <t>Ball State|Bowling Green</t>
        </is>
      </c>
    </row>
    <row r="463">
      <c r="A463" t="inlineStr">
        <is>
          <t>Sat Oct 17  TBD</t>
        </is>
      </c>
      <c r="B463" t="n">
        <v>7</v>
      </c>
      <c r="C463" t="inlineStr">
        <is>
          <t>Charleston Southern</t>
        </is>
      </c>
      <c r="D463" t="inlineStr">
        <is>
          <t>Clemson</t>
        </is>
      </c>
      <c r="E463" t="inlineStr">
        <is>
          <t>Memorial Stadium (Clemson, SC)</t>
        </is>
      </c>
      <c r="F463" t="inlineStr"/>
      <c r="G463" t="inlineStr">
        <is>
          <t>Charleston Southern|Clemson</t>
        </is>
      </c>
    </row>
    <row r="464">
      <c r="A464" t="inlineStr">
        <is>
          <t>Sat Oct 17  TBD</t>
        </is>
      </c>
      <c r="B464" t="n">
        <v>7</v>
      </c>
      <c r="C464" t="inlineStr">
        <is>
          <t>Missouri</t>
        </is>
      </c>
      <c r="D464" t="inlineStr">
        <is>
          <t>Ole Miss</t>
        </is>
      </c>
      <c r="E464" t="inlineStr">
        <is>
          <t>Vaught-Hemingway Stadium</t>
        </is>
      </c>
      <c r="F464" t="inlineStr"/>
      <c r="G464" t="inlineStr">
        <is>
          <t>Missouri|Ole Miss</t>
        </is>
      </c>
    </row>
    <row r="465">
      <c r="A465" t="inlineStr">
        <is>
          <t>Sat Oct 17  TBD</t>
        </is>
      </c>
      <c r="B465" t="n">
        <v>7</v>
      </c>
      <c r="C465" t="inlineStr">
        <is>
          <t>Northwestern</t>
        </is>
      </c>
      <c r="D465" t="inlineStr">
        <is>
          <t>Michigan State</t>
        </is>
      </c>
      <c r="E465" t="inlineStr">
        <is>
          <t>Spartan Stadium</t>
        </is>
      </c>
      <c r="F465" t="inlineStr"/>
      <c r="G465" t="inlineStr">
        <is>
          <t>Michigan State|Northwestern</t>
        </is>
      </c>
    </row>
    <row r="466">
      <c r="A466" t="inlineStr">
        <is>
          <t>Sat Oct 17  TBD</t>
        </is>
      </c>
      <c r="B466" t="n">
        <v>7</v>
      </c>
      <c r="C466" t="inlineStr">
        <is>
          <t>Arkansas</t>
        </is>
      </c>
      <c r="D466" t="inlineStr">
        <is>
          <t>Vanderbilt</t>
        </is>
      </c>
      <c r="E466" t="inlineStr">
        <is>
          <t>FirstBank Stadium</t>
        </is>
      </c>
      <c r="F466" t="inlineStr"/>
      <c r="G466" t="inlineStr">
        <is>
          <t>Arkansas|Vanderbilt</t>
        </is>
      </c>
    </row>
    <row r="467">
      <c r="A467" t="inlineStr">
        <is>
          <t>Sat Oct 17  TBD</t>
        </is>
      </c>
      <c r="B467" t="n">
        <v>7</v>
      </c>
      <c r="C467" t="inlineStr">
        <is>
          <t>Arkansas State</t>
        </is>
      </c>
      <c r="D467" t="inlineStr">
        <is>
          <t>Southern Miss</t>
        </is>
      </c>
      <c r="E467" t="inlineStr">
        <is>
          <t>M. M. Roberts Stadium</t>
        </is>
      </c>
      <c r="F467" t="inlineStr"/>
      <c r="G467" t="inlineStr">
        <is>
          <t>Arkansas State|Southern Miss</t>
        </is>
      </c>
    </row>
    <row r="468">
      <c r="A468" t="inlineStr">
        <is>
          <t>Sat Oct 17  TBD</t>
        </is>
      </c>
      <c r="B468" t="n">
        <v>7</v>
      </c>
      <c r="C468" t="inlineStr">
        <is>
          <t>Tulsa</t>
        </is>
      </c>
      <c r="D468" t="inlineStr">
        <is>
          <t>Rice</t>
        </is>
      </c>
      <c r="E468" t="inlineStr">
        <is>
          <t>Rice Stadium</t>
        </is>
      </c>
      <c r="F468" t="inlineStr"/>
      <c r="G468" t="inlineStr">
        <is>
          <t>Rice|Tulsa</t>
        </is>
      </c>
    </row>
    <row r="469">
      <c r="A469" t="inlineStr">
        <is>
          <t>Sat Oct 17  TBD</t>
        </is>
      </c>
      <c r="B469" t="n">
        <v>7</v>
      </c>
      <c r="C469" t="inlineStr">
        <is>
          <t>Troy</t>
        </is>
      </c>
      <c r="D469" t="inlineStr">
        <is>
          <t>Louisiana</t>
        </is>
      </c>
      <c r="E469" t="inlineStr">
        <is>
          <t>Cajun Field</t>
        </is>
      </c>
      <c r="F469" t="inlineStr"/>
      <c r="G469" t="inlineStr">
        <is>
          <t>Louisiana|Troy</t>
        </is>
      </c>
    </row>
    <row r="470">
      <c r="A470" t="inlineStr">
        <is>
          <t>Sat Oct 17  TBD</t>
        </is>
      </c>
      <c r="B470" t="n">
        <v>7</v>
      </c>
      <c r="C470" t="inlineStr">
        <is>
          <t>Kentucky</t>
        </is>
      </c>
      <c r="D470" t="inlineStr">
        <is>
          <t>Oklahoma</t>
        </is>
      </c>
      <c r="E470" t="inlineStr">
        <is>
          <t>Memorial Stadium (Norman, OK)</t>
        </is>
      </c>
      <c r="F470" t="inlineStr"/>
      <c r="G470" t="inlineStr">
        <is>
          <t>Kentucky|Oklahoma</t>
        </is>
      </c>
    </row>
    <row r="471">
      <c r="A471" t="inlineStr">
        <is>
          <t>Sat Oct 17  TBD</t>
        </is>
      </c>
      <c r="B471" t="n">
        <v>7</v>
      </c>
      <c r="C471" t="inlineStr">
        <is>
          <t>Cincinnati</t>
        </is>
      </c>
      <c r="D471" t="inlineStr">
        <is>
          <t>West Virginia</t>
        </is>
      </c>
      <c r="E471" t="inlineStr">
        <is>
          <t>Milan Puskar Stadium</t>
        </is>
      </c>
      <c r="F471" t="inlineStr"/>
      <c r="G471" t="inlineStr">
        <is>
          <t>Cincinnati|West Virginia</t>
        </is>
      </c>
    </row>
    <row r="472">
      <c r="A472" t="inlineStr">
        <is>
          <t>Sat Oct 17  TBD</t>
        </is>
      </c>
      <c r="B472" t="n">
        <v>7</v>
      </c>
      <c r="C472" t="inlineStr">
        <is>
          <t>Notre Dame</t>
        </is>
      </c>
      <c r="D472" t="inlineStr">
        <is>
          <t>BYU</t>
        </is>
      </c>
      <c r="E472" t="inlineStr">
        <is>
          <t>LaVell Edwards Stadium</t>
        </is>
      </c>
      <c r="F472" t="inlineStr"/>
      <c r="G472" t="inlineStr">
        <is>
          <t>BYU|Notre Dame</t>
        </is>
      </c>
    </row>
    <row r="473">
      <c r="A473" t="inlineStr">
        <is>
          <t>Sat Oct 17  TBD</t>
        </is>
      </c>
      <c r="B473" t="n">
        <v>7</v>
      </c>
      <c r="C473" t="inlineStr">
        <is>
          <t>Ohio</t>
        </is>
      </c>
      <c r="D473" t="inlineStr">
        <is>
          <t>Sacramento State</t>
        </is>
      </c>
      <c r="E473" t="inlineStr">
        <is>
          <t>Hornet Stadium</t>
        </is>
      </c>
      <c r="F473" t="inlineStr"/>
      <c r="G473" t="inlineStr">
        <is>
          <t>Ohio|Sacramento State</t>
        </is>
      </c>
    </row>
    <row r="474">
      <c r="A474" t="inlineStr">
        <is>
          <t>Sat Oct 17  TBD</t>
        </is>
      </c>
      <c r="B474" t="n">
        <v>7</v>
      </c>
      <c r="C474" t="inlineStr">
        <is>
          <t>Alabama</t>
        </is>
      </c>
      <c r="D474" t="inlineStr">
        <is>
          <t>Tennessee</t>
        </is>
      </c>
      <c r="E474" t="inlineStr">
        <is>
          <t>Neyland Stadium</t>
        </is>
      </c>
      <c r="F474" t="inlineStr"/>
      <c r="G474" t="inlineStr">
        <is>
          <t>Alabama|Tennessee</t>
        </is>
      </c>
    </row>
    <row r="475">
      <c r="A475" t="inlineStr">
        <is>
          <t>Sat Oct 17  TBD</t>
        </is>
      </c>
      <c r="B475" t="n">
        <v>7</v>
      </c>
      <c r="C475" t="inlineStr">
        <is>
          <t>Kent State</t>
        </is>
      </c>
      <c r="D475" t="inlineStr">
        <is>
          <t>South Florida</t>
        </is>
      </c>
      <c r="E475" t="inlineStr">
        <is>
          <t>Raymond James Stadium</t>
        </is>
      </c>
      <c r="F475" t="inlineStr"/>
      <c r="G475" t="inlineStr">
        <is>
          <t>Kent State|South Florida</t>
        </is>
      </c>
    </row>
    <row r="476">
      <c r="A476" t="inlineStr">
        <is>
          <t>Sat Oct 17  TBD</t>
        </is>
      </c>
      <c r="B476" t="n">
        <v>7</v>
      </c>
      <c r="C476" t="inlineStr">
        <is>
          <t>Georgia State</t>
        </is>
      </c>
      <c r="D476" t="inlineStr">
        <is>
          <t>James Madison</t>
        </is>
      </c>
      <c r="E476" t="inlineStr">
        <is>
          <t>Bridgeforth Stadium</t>
        </is>
      </c>
      <c r="F476" t="inlineStr"/>
      <c r="G476" t="inlineStr">
        <is>
          <t>Georgia State|James Madison</t>
        </is>
      </c>
    </row>
    <row r="477">
      <c r="A477" t="inlineStr">
        <is>
          <t>Sat Oct 17  TBD</t>
        </is>
      </c>
      <c r="B477" t="n">
        <v>7</v>
      </c>
      <c r="C477" t="inlineStr">
        <is>
          <t>Toledo</t>
        </is>
      </c>
      <c r="D477" t="inlineStr">
        <is>
          <t>Eastern Michigan</t>
        </is>
      </c>
      <c r="E477" t="inlineStr">
        <is>
          <t>Rynearson Stadium</t>
        </is>
      </c>
      <c r="F477" t="inlineStr"/>
      <c r="G477" t="inlineStr">
        <is>
          <t>Eastern Michigan|Toledo</t>
        </is>
      </c>
    </row>
    <row r="478">
      <c r="A478" t="inlineStr">
        <is>
          <t>Sat Oct 17  TBD</t>
        </is>
      </c>
      <c r="B478" t="n">
        <v>7</v>
      </c>
      <c r="C478" t="inlineStr">
        <is>
          <t>Western Michigan</t>
        </is>
      </c>
      <c r="D478" t="inlineStr">
        <is>
          <t>Central Michigan</t>
        </is>
      </c>
      <c r="E478" t="inlineStr">
        <is>
          <t>Kelly/Shorts Stadium</t>
        </is>
      </c>
      <c r="F478" t="inlineStr"/>
      <c r="G478" t="inlineStr">
        <is>
          <t>Central Michigan|Western Michigan</t>
        </is>
      </c>
    </row>
    <row r="479">
      <c r="A479" t="inlineStr">
        <is>
          <t>Sat Oct 17  TBD</t>
        </is>
      </c>
      <c r="B479" t="n">
        <v>7</v>
      </c>
      <c r="C479" t="inlineStr">
        <is>
          <t>UMass</t>
        </is>
      </c>
      <c r="D479" t="inlineStr">
        <is>
          <t>Buffalo</t>
        </is>
      </c>
      <c r="E479" t="inlineStr">
        <is>
          <t>UB Stadium</t>
        </is>
      </c>
      <c r="F479" t="inlineStr"/>
      <c r="G479" t="inlineStr">
        <is>
          <t>Buffalo|UMass</t>
        </is>
      </c>
    </row>
    <row r="480">
      <c r="A480" t="inlineStr">
        <is>
          <t>Sat Oct 17  TBD</t>
        </is>
      </c>
      <c r="B480" t="n">
        <v>7</v>
      </c>
      <c r="C480" t="inlineStr">
        <is>
          <t>Navy</t>
        </is>
      </c>
      <c r="D480" t="inlineStr">
        <is>
          <t>UTSA</t>
        </is>
      </c>
      <c r="E480" t="inlineStr">
        <is>
          <t>Alamodome</t>
        </is>
      </c>
      <c r="F480" t="inlineStr"/>
      <c r="G480" t="inlineStr">
        <is>
          <t>Navy|UTSA</t>
        </is>
      </c>
    </row>
    <row r="481">
      <c r="A481" t="inlineStr">
        <is>
          <t>Sat Oct 17  TBD</t>
        </is>
      </c>
      <c r="B481" t="n">
        <v>7</v>
      </c>
      <c r="C481" t="inlineStr">
        <is>
          <t>Ohio State</t>
        </is>
      </c>
      <c r="D481" t="inlineStr">
        <is>
          <t>Indiana</t>
        </is>
      </c>
      <c r="E481" t="inlineStr">
        <is>
          <t>Memorial Stadium (Bloomington, IN)</t>
        </is>
      </c>
      <c r="F481" t="inlineStr"/>
      <c r="G481" t="inlineStr">
        <is>
          <t>Indiana|Ohio State</t>
        </is>
      </c>
    </row>
    <row r="482">
      <c r="A482" t="inlineStr">
        <is>
          <t>Sat Oct 17  TBD</t>
        </is>
      </c>
      <c r="B482" t="n">
        <v>7</v>
      </c>
      <c r="C482" t="inlineStr">
        <is>
          <t>Virginia</t>
        </is>
      </c>
      <c r="D482" t="inlineStr">
        <is>
          <t>SMU</t>
        </is>
      </c>
      <c r="E482" t="inlineStr">
        <is>
          <t>Gerald J. Ford Stadium</t>
        </is>
      </c>
      <c r="F482" t="inlineStr"/>
      <c r="G482" t="inlineStr">
        <is>
          <t>SMU|Virginia</t>
        </is>
      </c>
    </row>
    <row r="483">
      <c r="A483" t="inlineStr">
        <is>
          <t>Sat Oct 17  TBD</t>
        </is>
      </c>
      <c r="B483" t="n">
        <v>7</v>
      </c>
      <c r="C483" t="inlineStr">
        <is>
          <t>Pittsburgh</t>
        </is>
      </c>
      <c r="D483" t="inlineStr">
        <is>
          <t>Boston College</t>
        </is>
      </c>
      <c r="E483" t="inlineStr">
        <is>
          <t>Alumni Stadium (Chestnut Hill, MA)</t>
        </is>
      </c>
      <c r="F483" t="inlineStr"/>
      <c r="G483" t="inlineStr">
        <is>
          <t>Boston College|Pittsburgh</t>
        </is>
      </c>
    </row>
    <row r="484">
      <c r="A484" t="inlineStr">
        <is>
          <t>Sat Oct 17  TBD</t>
        </is>
      </c>
      <c r="B484" t="n">
        <v>7</v>
      </c>
      <c r="C484" t="inlineStr">
        <is>
          <t>Penn State</t>
        </is>
      </c>
      <c r="D484" t="inlineStr">
        <is>
          <t>Michigan</t>
        </is>
      </c>
      <c r="E484" t="inlineStr">
        <is>
          <t>Michigan Stadium</t>
        </is>
      </c>
      <c r="F484" t="inlineStr"/>
      <c r="G484" t="inlineStr">
        <is>
          <t>Michigan|Penn State</t>
        </is>
      </c>
    </row>
    <row r="485">
      <c r="A485" t="inlineStr">
        <is>
          <t>Sat Oct 17  TBD</t>
        </is>
      </c>
      <c r="B485" t="n">
        <v>7</v>
      </c>
      <c r="C485" t="inlineStr">
        <is>
          <t>Louisiana Tech</t>
        </is>
      </c>
      <c r="D485" t="inlineStr">
        <is>
          <t>Louisiana-Monroe</t>
        </is>
      </c>
      <c r="E485" t="inlineStr">
        <is>
          <t>Malone Stadium</t>
        </is>
      </c>
      <c r="F485" t="inlineStr"/>
      <c r="G485" t="inlineStr">
        <is>
          <t>Louisiana Tech|Louisiana-Monroe</t>
        </is>
      </c>
    </row>
    <row r="486">
      <c r="A486" t="inlineStr">
        <is>
          <t>Sat Oct 17  TBD</t>
        </is>
      </c>
      <c r="B486" t="n">
        <v>7</v>
      </c>
      <c r="C486" t="inlineStr">
        <is>
          <t>Charlotte</t>
        </is>
      </c>
      <c r="D486" t="inlineStr">
        <is>
          <t>Temple</t>
        </is>
      </c>
      <c r="E486" t="inlineStr">
        <is>
          <t>Lincoln Financial Field</t>
        </is>
      </c>
      <c r="F486" t="inlineStr"/>
      <c r="G486" t="inlineStr">
        <is>
          <t>Charlotte|Temple</t>
        </is>
      </c>
    </row>
    <row r="487">
      <c r="A487" t="inlineStr">
        <is>
          <t>Sat Oct 17  TBD</t>
        </is>
      </c>
      <c r="B487" t="n">
        <v>7</v>
      </c>
      <c r="C487" t="inlineStr">
        <is>
          <t>Kansas</t>
        </is>
      </c>
      <c r="D487" t="inlineStr">
        <is>
          <t>Kansas State</t>
        </is>
      </c>
      <c r="E487" t="inlineStr">
        <is>
          <t>Bill Snyder Family Stadium</t>
        </is>
      </c>
      <c r="F487" t="inlineStr"/>
      <c r="G487" t="inlineStr">
        <is>
          <t>Kansas|Kansas State</t>
        </is>
      </c>
    </row>
    <row r="488">
      <c r="A488" t="inlineStr">
        <is>
          <t>Sat Oct 17  TBD</t>
        </is>
      </c>
      <c r="B488" t="n">
        <v>7</v>
      </c>
      <c r="C488" t="inlineStr">
        <is>
          <t>Oklahoma State</t>
        </is>
      </c>
      <c r="D488" t="inlineStr">
        <is>
          <t>Houston</t>
        </is>
      </c>
      <c r="E488" t="inlineStr">
        <is>
          <t>TDECU Stadium</t>
        </is>
      </c>
      <c r="F488" t="inlineStr"/>
      <c r="G488" t="inlineStr">
        <is>
          <t>Houston|Oklahoma State</t>
        </is>
      </c>
    </row>
    <row r="489">
      <c r="A489" t="inlineStr">
        <is>
          <t>Sat Oct 17  TBD</t>
        </is>
      </c>
      <c r="B489" t="n">
        <v>7</v>
      </c>
      <c r="C489" t="inlineStr">
        <is>
          <t>Arizona State</t>
        </is>
      </c>
      <c r="D489" t="inlineStr">
        <is>
          <t>Texas Tech</t>
        </is>
      </c>
      <c r="E489" t="inlineStr">
        <is>
          <t>Jones AT&amp;T Stadium</t>
        </is>
      </c>
      <c r="F489" t="inlineStr"/>
      <c r="G489" t="inlineStr">
        <is>
          <t>Arizona State|Texas Tech</t>
        </is>
      </c>
    </row>
    <row r="490">
      <c r="A490" t="inlineStr">
        <is>
          <t>Sat Oct 17  TBD</t>
        </is>
      </c>
      <c r="B490" t="n">
        <v>7</v>
      </c>
      <c r="C490" t="inlineStr">
        <is>
          <t>New Mexico</t>
        </is>
      </c>
      <c r="D490" t="inlineStr">
        <is>
          <t>Hawaii</t>
        </is>
      </c>
      <c r="E490" t="inlineStr">
        <is>
          <t>Clarence T.C. Ching Athletics Complex</t>
        </is>
      </c>
      <c r="F490" t="inlineStr"/>
      <c r="G490" t="inlineStr">
        <is>
          <t>Hawaii|New Mexico</t>
        </is>
      </c>
    </row>
    <row r="491">
      <c r="A491" t="inlineStr">
        <is>
          <t>Sat Oct 17  TBD</t>
        </is>
      </c>
      <c r="B491" t="n">
        <v>7</v>
      </c>
      <c r="C491" t="inlineStr">
        <is>
          <t>North Carolina</t>
        </is>
      </c>
      <c r="D491" t="inlineStr">
        <is>
          <t>Duke</t>
        </is>
      </c>
      <c r="E491" t="inlineStr">
        <is>
          <t>Wallace Wade Stadium</t>
        </is>
      </c>
      <c r="F491" t="inlineStr"/>
      <c r="G491" t="inlineStr">
        <is>
          <t>Duke|North Carolina</t>
        </is>
      </c>
    </row>
    <row r="492">
      <c r="A492" t="inlineStr">
        <is>
          <t>Sat Oct 17  TBD</t>
        </is>
      </c>
      <c r="B492" t="n">
        <v>7</v>
      </c>
      <c r="C492" t="inlineStr">
        <is>
          <t>Louisville</t>
        </is>
      </c>
      <c r="D492" t="inlineStr">
        <is>
          <t>Syracuse</t>
        </is>
      </c>
      <c r="E492" t="inlineStr">
        <is>
          <t>JMA Wireless Dome</t>
        </is>
      </c>
      <c r="F492" t="inlineStr"/>
      <c r="G492" t="inlineStr">
        <is>
          <t>Louisville|Syracuse</t>
        </is>
      </c>
    </row>
    <row r="493">
      <c r="A493" t="inlineStr">
        <is>
          <t>Sat Oct 17  TBD</t>
        </is>
      </c>
      <c r="B493" t="n">
        <v>7</v>
      </c>
      <c r="C493" t="inlineStr">
        <is>
          <t>Wake Forest</t>
        </is>
      </c>
      <c r="D493" t="inlineStr">
        <is>
          <t>California</t>
        </is>
      </c>
      <c r="E493" t="inlineStr">
        <is>
          <t>California Memorial Stadium</t>
        </is>
      </c>
      <c r="F493" t="inlineStr"/>
      <c r="G493" t="inlineStr">
        <is>
          <t>California|Wake Forest</t>
        </is>
      </c>
    </row>
    <row r="494">
      <c r="A494" t="inlineStr">
        <is>
          <t>Sat Oct 17  TBD</t>
        </is>
      </c>
      <c r="B494" t="n">
        <v>7</v>
      </c>
      <c r="C494" t="inlineStr">
        <is>
          <t>Florida</t>
        </is>
      </c>
      <c r="D494" t="inlineStr">
        <is>
          <t>Texas</t>
        </is>
      </c>
      <c r="E494" t="inlineStr">
        <is>
          <t>DKR-Texas Memorial Stadium</t>
        </is>
      </c>
      <c r="F494" t="inlineStr"/>
      <c r="G494" t="inlineStr">
        <is>
          <t>Florida|Texas</t>
        </is>
      </c>
    </row>
    <row r="495">
      <c r="A495" t="inlineStr">
        <is>
          <t>Sat Oct 17  TBD</t>
        </is>
      </c>
      <c r="B495" t="n">
        <v>7</v>
      </c>
      <c r="C495" t="inlineStr">
        <is>
          <t>TCU</t>
        </is>
      </c>
      <c r="D495" t="inlineStr">
        <is>
          <t>Baylor</t>
        </is>
      </c>
      <c r="E495" t="inlineStr">
        <is>
          <t>McLane Stadium</t>
        </is>
      </c>
      <c r="F495" t="inlineStr"/>
      <c r="G495" t="inlineStr">
        <is>
          <t>Baylor|TCU</t>
        </is>
      </c>
    </row>
    <row r="496">
      <c r="A496" t="inlineStr">
        <is>
          <t>Sat Oct 17  TBD</t>
        </is>
      </c>
      <c r="B496" t="n">
        <v>7</v>
      </c>
      <c r="C496" t="inlineStr">
        <is>
          <t>Akron</t>
        </is>
      </c>
      <c r="D496" t="inlineStr">
        <is>
          <t>Miami (OH)</t>
        </is>
      </c>
      <c r="E496" t="inlineStr">
        <is>
          <t>Yager Stadium</t>
        </is>
      </c>
      <c r="F496" t="inlineStr"/>
      <c r="G496" t="inlineStr">
        <is>
          <t>Akron|Miami (OH)</t>
        </is>
      </c>
    </row>
    <row r="497">
      <c r="A497" t="inlineStr">
        <is>
          <t>Sat Oct 17  TBD</t>
        </is>
      </c>
      <c r="B497" t="n">
        <v>7</v>
      </c>
      <c r="C497" t="inlineStr">
        <is>
          <t>Georgia Tech</t>
        </is>
      </c>
      <c r="D497" t="inlineStr">
        <is>
          <t>Virginia Tech</t>
        </is>
      </c>
      <c r="E497" t="inlineStr">
        <is>
          <t>Lane Stadium</t>
        </is>
      </c>
      <c r="F497" t="inlineStr"/>
      <c r="G497" t="inlineStr">
        <is>
          <t>Georgia Tech|Virginia Tech</t>
        </is>
      </c>
    </row>
    <row r="498">
      <c r="A498" t="inlineStr">
        <is>
          <t>Sat Oct 17  TBD</t>
        </is>
      </c>
      <c r="B498" t="n">
        <v>7</v>
      </c>
      <c r="C498" t="inlineStr">
        <is>
          <t>Florida State</t>
        </is>
      </c>
      <c r="D498" t="inlineStr">
        <is>
          <t>Miami</t>
        </is>
      </c>
      <c r="E498" t="inlineStr">
        <is>
          <t>Hard Rock Stadium</t>
        </is>
      </c>
      <c r="F498" t="inlineStr"/>
      <c r="G498" t="inlineStr">
        <is>
          <t>Florida State|Miami</t>
        </is>
      </c>
    </row>
    <row r="499">
      <c r="A499" t="inlineStr">
        <is>
          <t>Sat Oct 17  TBD</t>
        </is>
      </c>
      <c r="B499" t="n">
        <v>7</v>
      </c>
      <c r="C499" t="inlineStr">
        <is>
          <t>Utah</t>
        </is>
      </c>
      <c r="D499" t="inlineStr">
        <is>
          <t>Colorado</t>
        </is>
      </c>
      <c r="E499" t="inlineStr">
        <is>
          <t>Folsom Field</t>
        </is>
      </c>
      <c r="F499" t="inlineStr"/>
      <c r="G499" t="inlineStr">
        <is>
          <t>Colorado|Utah</t>
        </is>
      </c>
    </row>
    <row r="500">
      <c r="A500" t="inlineStr">
        <is>
          <t>Sat Oct 17  TBD</t>
        </is>
      </c>
      <c r="B500" t="n">
        <v>7</v>
      </c>
      <c r="C500" t="inlineStr">
        <is>
          <t>Wisconsin</t>
        </is>
      </c>
      <c r="D500" t="inlineStr">
        <is>
          <t>UCLA</t>
        </is>
      </c>
      <c r="E500" t="inlineStr">
        <is>
          <t>Rose Bowl</t>
        </is>
      </c>
      <c r="F500" t="inlineStr"/>
      <c r="G500" t="inlineStr">
        <is>
          <t>UCLA|Wisconsin</t>
        </is>
      </c>
    </row>
    <row r="501">
      <c r="A501" t="inlineStr">
        <is>
          <t>Sat Oct 17  TBD</t>
        </is>
      </c>
      <c r="B501" t="n">
        <v>7</v>
      </c>
      <c r="C501" t="inlineStr">
        <is>
          <t>Nebraska</t>
        </is>
      </c>
      <c r="D501" t="inlineStr">
        <is>
          <t>Oregon</t>
        </is>
      </c>
      <c r="E501" t="inlineStr">
        <is>
          <t>Autzen Stadium</t>
        </is>
      </c>
      <c r="F501" t="inlineStr"/>
      <c r="G501" t="inlineStr">
        <is>
          <t>Nebraska|Oregon</t>
        </is>
      </c>
    </row>
    <row r="502">
      <c r="A502" t="inlineStr">
        <is>
          <t>Sat Oct 17  TBD</t>
        </is>
      </c>
      <c r="B502" t="n">
        <v>7</v>
      </c>
      <c r="C502" t="inlineStr">
        <is>
          <t>Auburn</t>
        </is>
      </c>
      <c r="D502" t="inlineStr">
        <is>
          <t>Georgia</t>
        </is>
      </c>
      <c r="E502" t="inlineStr">
        <is>
          <t>Sanford Stadium</t>
        </is>
      </c>
      <c r="F502" t="inlineStr"/>
      <c r="G502" t="inlineStr">
        <is>
          <t>Auburn|Georgia</t>
        </is>
      </c>
    </row>
    <row r="503">
      <c r="A503" t="inlineStr">
        <is>
          <t>Sat Oct 17  12:00 PM ET</t>
        </is>
      </c>
      <c r="B503" t="n">
        <v>7</v>
      </c>
      <c r="C503" t="inlineStr">
        <is>
          <t>Florida Atlantic</t>
        </is>
      </c>
      <c r="D503" t="inlineStr">
        <is>
          <t>Army</t>
        </is>
      </c>
      <c r="E503" t="inlineStr">
        <is>
          <t>Michie Stadium</t>
        </is>
      </c>
      <c r="F503" t="inlineStr"/>
      <c r="G503" t="inlineStr">
        <is>
          <t>Army|Florida Atlantic</t>
        </is>
      </c>
    </row>
    <row r="504">
      <c r="A504" t="inlineStr">
        <is>
          <t>Sat Oct 17  1:00 PM ET</t>
        </is>
      </c>
      <c r="B504" t="n">
        <v>7</v>
      </c>
      <c r="C504" t="inlineStr">
        <is>
          <t>The Citadel</t>
        </is>
      </c>
      <c r="D504" t="inlineStr">
        <is>
          <t>Texas A&amp;M</t>
        </is>
      </c>
      <c r="E504" t="inlineStr">
        <is>
          <t>Kyle Field</t>
        </is>
      </c>
      <c r="F504" t="inlineStr"/>
      <c r="G504" t="inlineStr">
        <is>
          <t>Texas A&amp;M|The Citadel</t>
        </is>
      </c>
    </row>
    <row r="505">
      <c r="A505" t="inlineStr">
        <is>
          <t>Sat Oct 17  3:30 PM ET</t>
        </is>
      </c>
      <c r="B505" t="n">
        <v>7</v>
      </c>
      <c r="C505" t="inlineStr">
        <is>
          <t>Northern Illinois</t>
        </is>
      </c>
      <c r="D505" t="inlineStr">
        <is>
          <t>Wyoming</t>
        </is>
      </c>
      <c r="E505" t="inlineStr">
        <is>
          <t>War Memorial Stadium</t>
        </is>
      </c>
      <c r="F505" t="inlineStr"/>
      <c r="G505" t="inlineStr">
        <is>
          <t>Northern Illinois|Wyoming</t>
        </is>
      </c>
    </row>
    <row r="506">
      <c r="A506" t="inlineStr">
        <is>
          <t>Sat Oct 17  3:30 PM ET</t>
        </is>
      </c>
      <c r="B506" t="n">
        <v>7</v>
      </c>
      <c r="C506" t="inlineStr">
        <is>
          <t>UNLV</t>
        </is>
      </c>
      <c r="D506" t="inlineStr">
        <is>
          <t>Air Force</t>
        </is>
      </c>
      <c r="E506" t="inlineStr">
        <is>
          <t>Falcon Stadium</t>
        </is>
      </c>
      <c r="F506" t="inlineStr"/>
      <c r="G506" t="inlineStr">
        <is>
          <t>Air Force|UNLV</t>
        </is>
      </c>
    </row>
    <row r="507">
      <c r="A507" t="inlineStr">
        <is>
          <t>Sat Oct 17  6:00 PM ET</t>
        </is>
      </c>
      <c r="B507" t="n">
        <v>7</v>
      </c>
      <c r="C507" t="inlineStr">
        <is>
          <t>Washington State</t>
        </is>
      </c>
      <c r="D507" t="inlineStr">
        <is>
          <t>Oregon State</t>
        </is>
      </c>
      <c r="E507" t="inlineStr">
        <is>
          <t>Reser Stadium</t>
        </is>
      </c>
      <c r="F507" t="inlineStr"/>
      <c r="G507" t="inlineStr">
        <is>
          <t>Oregon State|Washington State</t>
        </is>
      </c>
    </row>
    <row r="508">
      <c r="A508" t="inlineStr">
        <is>
          <t>Sat Oct 17  7:00 PM ET</t>
        </is>
      </c>
      <c r="B508" t="n">
        <v>7</v>
      </c>
      <c r="C508" t="inlineStr">
        <is>
          <t>Nevada</t>
        </is>
      </c>
      <c r="D508" t="inlineStr">
        <is>
          <t>North Dakota State</t>
        </is>
      </c>
      <c r="E508" t="inlineStr">
        <is>
          <t>Fargodome</t>
        </is>
      </c>
      <c r="F508" t="inlineStr"/>
      <c r="G508" t="inlineStr">
        <is>
          <t>Nevada|North Dakota State</t>
        </is>
      </c>
    </row>
    <row r="509">
      <c r="A509" t="inlineStr">
        <is>
          <t>Sat Oct 17  7:30 PM ET</t>
        </is>
      </c>
      <c r="B509" t="n">
        <v>7</v>
      </c>
      <c r="C509" t="inlineStr">
        <is>
          <t>Elon</t>
        </is>
      </c>
      <c r="D509" t="inlineStr">
        <is>
          <t>Stanford</t>
        </is>
      </c>
      <c r="E509" t="inlineStr">
        <is>
          <t>Stanford Stadium</t>
        </is>
      </c>
      <c r="F509" t="inlineStr"/>
      <c r="G509" t="inlineStr">
        <is>
          <t>Elon|Stanford</t>
        </is>
      </c>
    </row>
    <row r="510">
      <c r="A510" t="inlineStr">
        <is>
          <t>Sat Oct 17  9:00 PM ET</t>
        </is>
      </c>
      <c r="B510" t="n">
        <v>7</v>
      </c>
      <c r="C510" t="inlineStr">
        <is>
          <t>San Jose State</t>
        </is>
      </c>
      <c r="D510" t="inlineStr">
        <is>
          <t>UTEP</t>
        </is>
      </c>
      <c r="E510" t="inlineStr">
        <is>
          <t>Sun Bowl</t>
        </is>
      </c>
      <c r="F510" t="inlineStr"/>
      <c r="G510" t="inlineStr">
        <is>
          <t>San Jose State|UTEP</t>
        </is>
      </c>
    </row>
    <row r="511">
      <c r="A511" t="inlineStr">
        <is>
          <t>Sat Oct 17  10:30 PM ET</t>
        </is>
      </c>
      <c r="B511" t="n">
        <v>7</v>
      </c>
      <c r="C511" t="inlineStr">
        <is>
          <t>Fresno State</t>
        </is>
      </c>
      <c r="D511" t="inlineStr">
        <is>
          <t>San Diego State</t>
        </is>
      </c>
      <c r="E511" t="inlineStr">
        <is>
          <t>Snapdragon Stadium</t>
        </is>
      </c>
      <c r="F511" t="inlineStr"/>
      <c r="G511" t="inlineStr">
        <is>
          <t>Fresno State|San Diego State</t>
        </is>
      </c>
    </row>
    <row r="512">
      <c r="A512" t="inlineStr">
        <is>
          <t>Tue Oct 20  7:00 PM ET</t>
        </is>
      </c>
      <c r="B512" t="n">
        <v>8</v>
      </c>
      <c r="C512" t="inlineStr">
        <is>
          <t>Missouri State</t>
        </is>
      </c>
      <c r="D512" t="inlineStr">
        <is>
          <t>Delaware</t>
        </is>
      </c>
      <c r="E512" t="inlineStr">
        <is>
          <t>Delaware Stadium</t>
        </is>
      </c>
      <c r="F512" t="inlineStr"/>
      <c r="G512" t="inlineStr">
        <is>
          <t>Delaware|Missouri State</t>
        </is>
      </c>
    </row>
    <row r="513">
      <c r="A513" t="inlineStr">
        <is>
          <t>Tue Oct 20  7:00 PM ET</t>
        </is>
      </c>
      <c r="B513" t="n">
        <v>8</v>
      </c>
      <c r="C513" t="inlineStr">
        <is>
          <t>Middle Tennessee</t>
        </is>
      </c>
      <c r="D513" t="inlineStr">
        <is>
          <t>Florida International</t>
        </is>
      </c>
      <c r="E513" t="inlineStr">
        <is>
          <t>Pitbull Stadium</t>
        </is>
      </c>
      <c r="F513" t="inlineStr"/>
      <c r="G513" t="inlineStr">
        <is>
          <t>Florida International|Middle Tennessee</t>
        </is>
      </c>
    </row>
    <row r="514">
      <c r="A514" t="inlineStr">
        <is>
          <t>Tue Oct 20  7:30 PM ET</t>
        </is>
      </c>
      <c r="B514" t="n">
        <v>8</v>
      </c>
      <c r="C514" t="inlineStr">
        <is>
          <t>South Alabama</t>
        </is>
      </c>
      <c r="D514" t="inlineStr">
        <is>
          <t>Marshall</t>
        </is>
      </c>
      <c r="E514" t="inlineStr">
        <is>
          <t>Joan C. Edwards Stadium</t>
        </is>
      </c>
      <c r="F514" t="inlineStr"/>
      <c r="G514" t="inlineStr">
        <is>
          <t>Marshall|South Alabama</t>
        </is>
      </c>
    </row>
    <row r="515">
      <c r="A515" t="inlineStr">
        <is>
          <t>Wed Oct 21  8:00 PM ET</t>
        </is>
      </c>
      <c r="B515" t="n">
        <v>8</v>
      </c>
      <c r="C515" t="inlineStr">
        <is>
          <t>New Mexico State</t>
        </is>
      </c>
      <c r="D515" t="inlineStr">
        <is>
          <t>Sam Houston</t>
        </is>
      </c>
      <c r="E515" t="inlineStr">
        <is>
          <t>Elliott T. Bowers Stadium</t>
        </is>
      </c>
      <c r="F515" t="inlineStr"/>
      <c r="G515" t="inlineStr">
        <is>
          <t>New Mexico State|Sam Houston</t>
        </is>
      </c>
    </row>
    <row r="516">
      <c r="A516" t="inlineStr">
        <is>
          <t>Thu Oct 22  7:00 PM ET</t>
        </is>
      </c>
      <c r="B516" t="n">
        <v>8</v>
      </c>
      <c r="C516" t="inlineStr">
        <is>
          <t>Liberty</t>
        </is>
      </c>
      <c r="D516" t="inlineStr">
        <is>
          <t>Kennesaw State</t>
        </is>
      </c>
      <c r="E516" t="inlineStr">
        <is>
          <t>Fifth Third Stadium</t>
        </is>
      </c>
      <c r="F516" t="inlineStr"/>
      <c r="G516" t="inlineStr">
        <is>
          <t>Kennesaw State|Liberty</t>
        </is>
      </c>
    </row>
    <row r="517">
      <c r="A517" t="inlineStr">
        <is>
          <t>Thu Oct 22  7:00 PM ET</t>
        </is>
      </c>
      <c r="B517" t="n">
        <v>8</v>
      </c>
      <c r="C517" t="inlineStr">
        <is>
          <t>James Madison</t>
        </is>
      </c>
      <c r="D517" t="inlineStr">
        <is>
          <t>Appalachian State</t>
        </is>
      </c>
      <c r="E517" t="inlineStr">
        <is>
          <t>Kidd Brewer Stadium</t>
        </is>
      </c>
      <c r="F517" t="inlineStr"/>
      <c r="G517" t="inlineStr">
        <is>
          <t>Appalachian State|James Madison</t>
        </is>
      </c>
    </row>
    <row r="518">
      <c r="A518" t="inlineStr">
        <is>
          <t>Thu Oct 22  7:30 PM ET</t>
        </is>
      </c>
      <c r="B518" t="n">
        <v>8</v>
      </c>
      <c r="C518" t="inlineStr">
        <is>
          <t>East Carolina</t>
        </is>
      </c>
      <c r="D518" t="inlineStr">
        <is>
          <t>Memphis</t>
        </is>
      </c>
      <c r="E518" t="inlineStr">
        <is>
          <t>Simmons Bank Liberty Stadium</t>
        </is>
      </c>
      <c r="F518" t="inlineStr"/>
      <c r="G518" t="inlineStr">
        <is>
          <t>East Carolina|Memphis</t>
        </is>
      </c>
    </row>
    <row r="519">
      <c r="A519" t="inlineStr">
        <is>
          <t>Fri Oct 23  7:00 PM ET</t>
        </is>
      </c>
      <c r="B519" t="n">
        <v>8</v>
      </c>
      <c r="C519" t="inlineStr">
        <is>
          <t>UMass</t>
        </is>
      </c>
      <c r="D519" t="inlineStr">
        <is>
          <t>UConn</t>
        </is>
      </c>
      <c r="E519" t="inlineStr">
        <is>
          <t>Pratt &amp; Whitney Stadium</t>
        </is>
      </c>
      <c r="F519" t="inlineStr"/>
      <c r="G519" t="inlineStr">
        <is>
          <t>UConn|UMass</t>
        </is>
      </c>
    </row>
    <row r="520">
      <c r="A520" t="inlineStr">
        <is>
          <t>Fri Oct 23  7:00 PM ET</t>
        </is>
      </c>
      <c r="B520" t="n">
        <v>8</v>
      </c>
      <c r="C520" t="inlineStr">
        <is>
          <t>Duke</t>
        </is>
      </c>
      <c r="D520" t="inlineStr">
        <is>
          <t>Virginia</t>
        </is>
      </c>
      <c r="E520" t="inlineStr">
        <is>
          <t>Scott Stadium</t>
        </is>
      </c>
      <c r="F520" t="inlineStr"/>
      <c r="G520" t="inlineStr">
        <is>
          <t>Duke|Virginia</t>
        </is>
      </c>
    </row>
    <row r="521">
      <c r="A521" t="inlineStr">
        <is>
          <t>Fri Oct 23  8:30 PM ET</t>
        </is>
      </c>
      <c r="B521" t="n">
        <v>8</v>
      </c>
      <c r="C521" t="inlineStr">
        <is>
          <t>Army</t>
        </is>
      </c>
      <c r="D521" t="inlineStr">
        <is>
          <t>Tulsa</t>
        </is>
      </c>
      <c r="E521" t="inlineStr">
        <is>
          <t>Chapman Stadium</t>
        </is>
      </c>
      <c r="F521" t="inlineStr"/>
      <c r="G521" t="inlineStr">
        <is>
          <t>Army|Tulsa</t>
        </is>
      </c>
    </row>
    <row r="522">
      <c r="A522" t="inlineStr">
        <is>
          <t>Fri Oct 23  9:00 PM ET</t>
        </is>
      </c>
      <c r="B522" t="n">
        <v>8</v>
      </c>
      <c r="C522" t="inlineStr">
        <is>
          <t>Air Force</t>
        </is>
      </c>
      <c r="D522" t="inlineStr">
        <is>
          <t>Wyoming</t>
        </is>
      </c>
      <c r="E522" t="inlineStr">
        <is>
          <t>War Memorial Stadium</t>
        </is>
      </c>
      <c r="F522" t="inlineStr"/>
      <c r="G522" t="inlineStr">
        <is>
          <t>Air Force|Wyoming</t>
        </is>
      </c>
    </row>
    <row r="523">
      <c r="A523" t="inlineStr">
        <is>
          <t>Fri Oct 23  10:30 PM ET</t>
        </is>
      </c>
      <c r="B523" t="n">
        <v>8</v>
      </c>
      <c r="C523" t="inlineStr">
        <is>
          <t>NC State</t>
        </is>
      </c>
      <c r="D523" t="inlineStr">
        <is>
          <t>Stanford</t>
        </is>
      </c>
      <c r="E523" t="inlineStr">
        <is>
          <t>Stanford Stadium</t>
        </is>
      </c>
      <c r="F523" t="inlineStr"/>
      <c r="G523" t="inlineStr">
        <is>
          <t>NC State|Stanford</t>
        </is>
      </c>
    </row>
    <row r="524">
      <c r="A524" t="inlineStr">
        <is>
          <t>Sat Oct 24  TBD</t>
        </is>
      </c>
      <c r="B524" t="n">
        <v>8</v>
      </c>
      <c r="C524" t="inlineStr">
        <is>
          <t>Vanderbilt</t>
        </is>
      </c>
      <c r="D524" t="inlineStr">
        <is>
          <t>Kentucky</t>
        </is>
      </c>
      <c r="E524" t="inlineStr">
        <is>
          <t>Kroger Field</t>
        </is>
      </c>
      <c r="F524" t="inlineStr"/>
      <c r="G524" t="inlineStr">
        <is>
          <t>Kentucky|Vanderbilt</t>
        </is>
      </c>
    </row>
    <row r="525">
      <c r="A525" t="inlineStr">
        <is>
          <t>Sat Oct 24  TBD</t>
        </is>
      </c>
      <c r="B525" t="n">
        <v>8</v>
      </c>
      <c r="C525" t="inlineStr">
        <is>
          <t>Texas A&amp;M</t>
        </is>
      </c>
      <c r="D525" t="inlineStr">
        <is>
          <t>Alabama</t>
        </is>
      </c>
      <c r="E525" t="inlineStr">
        <is>
          <t>Bryant-Denny Stadium</t>
        </is>
      </c>
      <c r="F525" t="inlineStr"/>
      <c r="G525" t="inlineStr">
        <is>
          <t>Alabama|Texas A&amp;M</t>
        </is>
      </c>
    </row>
    <row r="526">
      <c r="A526" t="inlineStr">
        <is>
          <t>Sat Oct 24  TBD</t>
        </is>
      </c>
      <c r="B526" t="n">
        <v>8</v>
      </c>
      <c r="C526" t="inlineStr">
        <is>
          <t>Old Dominion</t>
        </is>
      </c>
      <c r="D526" t="inlineStr">
        <is>
          <t>Louisiana Tech</t>
        </is>
      </c>
      <c r="E526" t="inlineStr">
        <is>
          <t>Joe Aillet Stadium</t>
        </is>
      </c>
      <c r="F526" t="inlineStr"/>
      <c r="G526" t="inlineStr">
        <is>
          <t>Louisiana Tech|Old Dominion</t>
        </is>
      </c>
    </row>
    <row r="527">
      <c r="A527" t="inlineStr">
        <is>
          <t>Sat Oct 24  TBD</t>
        </is>
      </c>
      <c r="B527" t="n">
        <v>8</v>
      </c>
      <c r="C527" t="inlineStr">
        <is>
          <t>Louisiana-Monroe</t>
        </is>
      </c>
      <c r="D527" t="inlineStr">
        <is>
          <t>Troy</t>
        </is>
      </c>
      <c r="E527" t="inlineStr">
        <is>
          <t>Veterans Memorial Stadium (AL)</t>
        </is>
      </c>
      <c r="F527" t="inlineStr"/>
      <c r="G527" t="inlineStr">
        <is>
          <t>Louisiana-Monroe|Troy</t>
        </is>
      </c>
    </row>
    <row r="528">
      <c r="A528" t="inlineStr">
        <is>
          <t>Sat Oct 24  TBD</t>
        </is>
      </c>
      <c r="B528" t="n">
        <v>8</v>
      </c>
      <c r="C528" t="inlineStr">
        <is>
          <t>Baylor</t>
        </is>
      </c>
      <c r="D528" t="inlineStr">
        <is>
          <t>Kansas</t>
        </is>
      </c>
      <c r="E528" t="inlineStr">
        <is>
          <t>Memorial Stadium</t>
        </is>
      </c>
      <c r="F528" t="inlineStr"/>
      <c r="G528" t="inlineStr">
        <is>
          <t>Baylor|Kansas</t>
        </is>
      </c>
    </row>
    <row r="529">
      <c r="A529" t="inlineStr">
        <is>
          <t>Sat Oct 24  TBD</t>
        </is>
      </c>
      <c r="B529" t="n">
        <v>8</v>
      </c>
      <c r="C529" t="inlineStr">
        <is>
          <t>Eastern Michigan</t>
        </is>
      </c>
      <c r="D529" t="inlineStr">
        <is>
          <t>Ohio</t>
        </is>
      </c>
      <c r="E529" t="inlineStr">
        <is>
          <t>Peden Stadium</t>
        </is>
      </c>
      <c r="F529" t="inlineStr"/>
      <c r="G529" t="inlineStr">
        <is>
          <t>Eastern Michigan|Ohio</t>
        </is>
      </c>
    </row>
    <row r="530">
      <c r="A530" t="inlineStr">
        <is>
          <t>Sat Oct 24  TBD</t>
        </is>
      </c>
      <c r="B530" t="n">
        <v>8</v>
      </c>
      <c r="C530" t="inlineStr">
        <is>
          <t>Rice</t>
        </is>
      </c>
      <c r="D530" t="inlineStr">
        <is>
          <t>Florida Atlantic</t>
        </is>
      </c>
      <c r="E530" t="inlineStr">
        <is>
          <t>FAU Stadium</t>
        </is>
      </c>
      <c r="F530" t="inlineStr"/>
      <c r="G530" t="inlineStr">
        <is>
          <t>Florida Atlantic|Rice</t>
        </is>
      </c>
    </row>
    <row r="531">
      <c r="A531" t="inlineStr">
        <is>
          <t>Sat Oct 24  TBD</t>
        </is>
      </c>
      <c r="B531" t="n">
        <v>8</v>
      </c>
      <c r="C531" t="inlineStr">
        <is>
          <t>USC</t>
        </is>
      </c>
      <c r="D531" t="inlineStr">
        <is>
          <t>Wisconsin</t>
        </is>
      </c>
      <c r="E531" t="inlineStr">
        <is>
          <t>Camp Randall Stadium</t>
        </is>
      </c>
      <c r="F531" t="inlineStr"/>
      <c r="G531" t="inlineStr">
        <is>
          <t>USC|Wisconsin</t>
        </is>
      </c>
    </row>
    <row r="532">
      <c r="A532" t="inlineStr">
        <is>
          <t>Sat Oct 24  TBD</t>
        </is>
      </c>
      <c r="B532" t="n">
        <v>8</v>
      </c>
      <c r="C532" t="inlineStr">
        <is>
          <t>Rutgers</t>
        </is>
      </c>
      <c r="D532" t="inlineStr">
        <is>
          <t>Northwestern</t>
        </is>
      </c>
      <c r="E532" t="inlineStr">
        <is>
          <t>Ryan Field</t>
        </is>
      </c>
      <c r="F532" t="inlineStr"/>
      <c r="G532" t="inlineStr">
        <is>
          <t>Northwestern|Rutgers</t>
        </is>
      </c>
    </row>
    <row r="533">
      <c r="A533" t="inlineStr">
        <is>
          <t>Sat Oct 24  TBD</t>
        </is>
      </c>
      <c r="B533" t="n">
        <v>8</v>
      </c>
      <c r="C533" t="inlineStr">
        <is>
          <t>Iowa</t>
        </is>
      </c>
      <c r="D533" t="inlineStr">
        <is>
          <t>Minnesota</t>
        </is>
      </c>
      <c r="E533" t="inlineStr">
        <is>
          <t>Huntington Bank Stadium</t>
        </is>
      </c>
      <c r="F533" t="inlineStr"/>
      <c r="G533" t="inlineStr">
        <is>
          <t>Iowa|Minnesota</t>
        </is>
      </c>
    </row>
    <row r="534">
      <c r="A534" t="inlineStr">
        <is>
          <t>Sat Oct 24  TBD</t>
        </is>
      </c>
      <c r="B534" t="n">
        <v>8</v>
      </c>
      <c r="C534" t="inlineStr">
        <is>
          <t>Indiana</t>
        </is>
      </c>
      <c r="D534" t="inlineStr">
        <is>
          <t>Michigan</t>
        </is>
      </c>
      <c r="E534" t="inlineStr">
        <is>
          <t>Michigan Stadium</t>
        </is>
      </c>
      <c r="F534" t="inlineStr"/>
      <c r="G534" t="inlineStr">
        <is>
          <t>Indiana|Michigan</t>
        </is>
      </c>
    </row>
    <row r="535">
      <c r="A535" t="inlineStr">
        <is>
          <t>Sat Oct 24  TBD</t>
        </is>
      </c>
      <c r="B535" t="n">
        <v>8</v>
      </c>
      <c r="C535" t="inlineStr">
        <is>
          <t>Virginia Tech</t>
        </is>
      </c>
      <c r="D535" t="inlineStr">
        <is>
          <t>Clemson</t>
        </is>
      </c>
      <c r="E535" t="inlineStr">
        <is>
          <t>Memorial Stadium (Clemson, SC)</t>
        </is>
      </c>
      <c r="F535" t="inlineStr"/>
      <c r="G535" t="inlineStr">
        <is>
          <t>Clemson|Virginia Tech</t>
        </is>
      </c>
    </row>
    <row r="536">
      <c r="A536" t="inlineStr">
        <is>
          <t>Sat Oct 24  TBD</t>
        </is>
      </c>
      <c r="B536" t="n">
        <v>8</v>
      </c>
      <c r="C536" t="inlineStr">
        <is>
          <t>Syracuse</t>
        </is>
      </c>
      <c r="D536" t="inlineStr">
        <is>
          <t>North Carolina</t>
        </is>
      </c>
      <c r="E536" t="inlineStr">
        <is>
          <t>Kenan Stadium</t>
        </is>
      </c>
      <c r="F536" t="inlineStr"/>
      <c r="G536" t="inlineStr">
        <is>
          <t>North Carolina|Syracuse</t>
        </is>
      </c>
    </row>
    <row r="537">
      <c r="A537" t="inlineStr">
        <is>
          <t>Sat Oct 24  TBD</t>
        </is>
      </c>
      <c r="B537" t="n">
        <v>8</v>
      </c>
      <c r="C537" t="inlineStr">
        <is>
          <t>Pittsburgh</t>
        </is>
      </c>
      <c r="D537" t="inlineStr">
        <is>
          <t>Miami</t>
        </is>
      </c>
      <c r="E537" t="inlineStr">
        <is>
          <t>Hard Rock Stadium</t>
        </is>
      </c>
      <c r="F537" t="inlineStr"/>
      <c r="G537" t="inlineStr">
        <is>
          <t>Miami|Pittsburgh</t>
        </is>
      </c>
    </row>
    <row r="538">
      <c r="A538" t="inlineStr">
        <is>
          <t>Sat Oct 24  TBD</t>
        </is>
      </c>
      <c r="B538" t="n">
        <v>8</v>
      </c>
      <c r="C538" t="inlineStr">
        <is>
          <t>Boston College</t>
        </is>
      </c>
      <c r="D538" t="inlineStr">
        <is>
          <t>Georgia Tech</t>
        </is>
      </c>
      <c r="E538" t="inlineStr">
        <is>
          <t>Bobby Dodd Stadium</t>
        </is>
      </c>
      <c r="F538" t="inlineStr"/>
      <c r="G538" t="inlineStr">
        <is>
          <t>Boston College|Georgia Tech</t>
        </is>
      </c>
    </row>
    <row r="539">
      <c r="A539" t="inlineStr">
        <is>
          <t>Sat Oct 24  TBD</t>
        </is>
      </c>
      <c r="B539" t="n">
        <v>8</v>
      </c>
      <c r="C539" t="inlineStr">
        <is>
          <t>West Virginia</t>
        </is>
      </c>
      <c r="D539" t="inlineStr">
        <is>
          <t>TCU</t>
        </is>
      </c>
      <c r="E539" t="inlineStr">
        <is>
          <t>Amon G. Carter Stadium</t>
        </is>
      </c>
      <c r="F539" t="inlineStr"/>
      <c r="G539" t="inlineStr">
        <is>
          <t>TCU|West Virginia</t>
        </is>
      </c>
    </row>
    <row r="540">
      <c r="A540" t="inlineStr">
        <is>
          <t>Sat Oct 24  TBD</t>
        </is>
      </c>
      <c r="B540" t="n">
        <v>8</v>
      </c>
      <c r="C540" t="inlineStr">
        <is>
          <t>Texas Tech</t>
        </is>
      </c>
      <c r="D540" t="inlineStr">
        <is>
          <t>Cincinnati</t>
        </is>
      </c>
      <c r="E540" t="inlineStr">
        <is>
          <t>Nippert Stadium</t>
        </is>
      </c>
      <c r="F540" t="inlineStr"/>
      <c r="G540" t="inlineStr">
        <is>
          <t>Cincinnati|Texas Tech</t>
        </is>
      </c>
    </row>
    <row r="541">
      <c r="A541" t="inlineStr">
        <is>
          <t>Sat Oct 24  TBD</t>
        </is>
      </c>
      <c r="B541" t="n">
        <v>8</v>
      </c>
      <c r="C541" t="inlineStr">
        <is>
          <t>Kansas State</t>
        </is>
      </c>
      <c r="D541" t="inlineStr">
        <is>
          <t>Arizona State</t>
        </is>
      </c>
      <c r="E541" t="inlineStr">
        <is>
          <t>Mountain America Stadium</t>
        </is>
      </c>
      <c r="F541" t="inlineStr"/>
      <c r="G541" t="inlineStr">
        <is>
          <t>Arizona State|Kansas State</t>
        </is>
      </c>
    </row>
    <row r="542">
      <c r="A542" t="inlineStr">
        <is>
          <t>Sat Oct 24  TBD</t>
        </is>
      </c>
      <c r="B542" t="n">
        <v>8</v>
      </c>
      <c r="C542" t="inlineStr">
        <is>
          <t>Akron</t>
        </is>
      </c>
      <c r="D542" t="inlineStr">
        <is>
          <t>Kent State</t>
        </is>
      </c>
      <c r="E542" t="inlineStr">
        <is>
          <t>Dix Stadium</t>
        </is>
      </c>
      <c r="F542" t="inlineStr"/>
      <c r="G542" t="inlineStr">
        <is>
          <t>Akron|Kent State</t>
        </is>
      </c>
    </row>
    <row r="543">
      <c r="A543" t="inlineStr">
        <is>
          <t>Sat Oct 24  TBD</t>
        </is>
      </c>
      <c r="B543" t="n">
        <v>8</v>
      </c>
      <c r="C543" t="inlineStr">
        <is>
          <t>Iowa State</t>
        </is>
      </c>
      <c r="D543" t="inlineStr">
        <is>
          <t>Arizona</t>
        </is>
      </c>
      <c r="E543" t="inlineStr">
        <is>
          <t>Arizona Stadium</t>
        </is>
      </c>
      <c r="F543" t="inlineStr"/>
      <c r="G543" t="inlineStr">
        <is>
          <t>Arizona|Iowa State</t>
        </is>
      </c>
    </row>
    <row r="544">
      <c r="A544" t="inlineStr">
        <is>
          <t>Sat Oct 24  TBD</t>
        </is>
      </c>
      <c r="B544" t="n">
        <v>8</v>
      </c>
      <c r="C544" t="inlineStr">
        <is>
          <t>Houston</t>
        </is>
      </c>
      <c r="D544" t="inlineStr">
        <is>
          <t>Utah</t>
        </is>
      </c>
      <c r="E544" t="inlineStr">
        <is>
          <t>Rice-Eccles Stadium</t>
        </is>
      </c>
      <c r="F544" t="inlineStr"/>
      <c r="G544" t="inlineStr">
        <is>
          <t>Houston|Utah</t>
        </is>
      </c>
    </row>
    <row r="545">
      <c r="A545" t="inlineStr">
        <is>
          <t>Sat Oct 24  TBD</t>
        </is>
      </c>
      <c r="B545" t="n">
        <v>8</v>
      </c>
      <c r="C545" t="inlineStr">
        <is>
          <t>BYU</t>
        </is>
      </c>
      <c r="D545" t="inlineStr">
        <is>
          <t>UCF</t>
        </is>
      </c>
      <c r="E545" t="inlineStr">
        <is>
          <t>FBC Mortgage Stadium</t>
        </is>
      </c>
      <c r="F545" t="inlineStr"/>
      <c r="G545" t="inlineStr">
        <is>
          <t>BYU|UCF</t>
        </is>
      </c>
    </row>
    <row r="546">
      <c r="A546" t="inlineStr">
        <is>
          <t>Sat Oct 24  TBD</t>
        </is>
      </c>
      <c r="B546" t="n">
        <v>8</v>
      </c>
      <c r="C546" t="inlineStr">
        <is>
          <t>Louisiana</t>
        </is>
      </c>
      <c r="D546" t="inlineStr">
        <is>
          <t>Southern Miss</t>
        </is>
      </c>
      <c r="E546" t="inlineStr">
        <is>
          <t>M. M. Roberts Stadium</t>
        </is>
      </c>
      <c r="F546" t="inlineStr"/>
      <c r="G546" t="inlineStr">
        <is>
          <t>Louisiana|Southern Miss</t>
        </is>
      </c>
    </row>
    <row r="547">
      <c r="A547" t="inlineStr">
        <is>
          <t>Sat Oct 24  TBD</t>
        </is>
      </c>
      <c r="B547" t="n">
        <v>8</v>
      </c>
      <c r="C547" t="inlineStr">
        <is>
          <t>Ole Miss</t>
        </is>
      </c>
      <c r="D547" t="inlineStr">
        <is>
          <t>Texas</t>
        </is>
      </c>
      <c r="E547" t="inlineStr">
        <is>
          <t>DKR-Texas Memorial Stadium</t>
        </is>
      </c>
      <c r="F547" t="inlineStr"/>
      <c r="G547" t="inlineStr">
        <is>
          <t>Ole Miss|Texas</t>
        </is>
      </c>
    </row>
    <row r="548">
      <c r="A548" t="inlineStr">
        <is>
          <t>Sat Oct 24  TBD</t>
        </is>
      </c>
      <c r="B548" t="n">
        <v>8</v>
      </c>
      <c r="C548" t="inlineStr">
        <is>
          <t>Bowling Green</t>
        </is>
      </c>
      <c r="D548" t="inlineStr">
        <is>
          <t>Buffalo</t>
        </is>
      </c>
      <c r="E548" t="inlineStr">
        <is>
          <t>UB Stadium</t>
        </is>
      </c>
      <c r="F548" t="inlineStr"/>
      <c r="G548" t="inlineStr">
        <is>
          <t>Bowling Green|Buffalo</t>
        </is>
      </c>
    </row>
    <row r="549">
      <c r="A549" t="inlineStr">
        <is>
          <t>Sat Oct 24  TBD</t>
        </is>
      </c>
      <c r="B549" t="n">
        <v>8</v>
      </c>
      <c r="C549" t="inlineStr">
        <is>
          <t>Michigan State</t>
        </is>
      </c>
      <c r="D549" t="inlineStr">
        <is>
          <t>UCLA</t>
        </is>
      </c>
      <c r="E549" t="inlineStr">
        <is>
          <t>Rose Bowl</t>
        </is>
      </c>
      <c r="F549" t="inlineStr"/>
      <c r="G549" t="inlineStr">
        <is>
          <t>Michigan State|UCLA</t>
        </is>
      </c>
    </row>
    <row r="550">
      <c r="A550" t="inlineStr">
        <is>
          <t>Sat Oct 24  TBD</t>
        </is>
      </c>
      <c r="B550" t="n">
        <v>8</v>
      </c>
      <c r="C550" t="inlineStr">
        <is>
          <t>Oklahoma</t>
        </is>
      </c>
      <c r="D550" t="inlineStr">
        <is>
          <t>Mississippi State</t>
        </is>
      </c>
      <c r="E550" t="inlineStr">
        <is>
          <t>Davis Wade Stadium</t>
        </is>
      </c>
      <c r="F550" t="inlineStr"/>
      <c r="G550" t="inlineStr">
        <is>
          <t>Mississippi State|Oklahoma</t>
        </is>
      </c>
    </row>
    <row r="551">
      <c r="A551" t="inlineStr">
        <is>
          <t>Sat Oct 24  TBD</t>
        </is>
      </c>
      <c r="B551" t="n">
        <v>8</v>
      </c>
      <c r="C551" t="inlineStr">
        <is>
          <t>Colorado</t>
        </is>
      </c>
      <c r="D551" t="inlineStr">
        <is>
          <t>Oklahoma State</t>
        </is>
      </c>
      <c r="E551" t="inlineStr">
        <is>
          <t>Boone Pickens Stadium</t>
        </is>
      </c>
      <c r="F551" t="inlineStr"/>
      <c r="G551" t="inlineStr">
        <is>
          <t>Colorado|Oklahoma State</t>
        </is>
      </c>
    </row>
    <row r="552">
      <c r="A552" t="inlineStr">
        <is>
          <t>Sat Oct 24  TBD</t>
        </is>
      </c>
      <c r="B552" t="n">
        <v>8</v>
      </c>
      <c r="C552" t="inlineStr">
        <is>
          <t>Tennessee</t>
        </is>
      </c>
      <c r="D552" t="inlineStr">
        <is>
          <t>South Carolina</t>
        </is>
      </c>
      <c r="E552" t="inlineStr">
        <is>
          <t>Williams-Brice Stadium</t>
        </is>
      </c>
      <c r="F552" t="inlineStr"/>
      <c r="G552" t="inlineStr">
        <is>
          <t>South Carolina|Tennessee</t>
        </is>
      </c>
    </row>
    <row r="553">
      <c r="A553" t="inlineStr">
        <is>
          <t>Sat Oct 24  TBD</t>
        </is>
      </c>
      <c r="B553" t="n">
        <v>8</v>
      </c>
      <c r="C553" t="inlineStr">
        <is>
          <t>California</t>
        </is>
      </c>
      <c r="D553" t="inlineStr">
        <is>
          <t>SMU</t>
        </is>
      </c>
      <c r="E553" t="inlineStr">
        <is>
          <t>Gerald J. Ford Stadium</t>
        </is>
      </c>
      <c r="F553" t="inlineStr"/>
      <c r="G553" t="inlineStr">
        <is>
          <t>California|SMU</t>
        </is>
      </c>
    </row>
    <row r="554">
      <c r="A554" t="inlineStr">
        <is>
          <t>Sat Oct 24  TBD</t>
        </is>
      </c>
      <c r="B554" t="n">
        <v>8</v>
      </c>
      <c r="C554" t="inlineStr">
        <is>
          <t>Western Michigan</t>
        </is>
      </c>
      <c r="D554" t="inlineStr">
        <is>
          <t>Toledo</t>
        </is>
      </c>
      <c r="E554" t="inlineStr">
        <is>
          <t>Glass Bowl</t>
        </is>
      </c>
      <c r="F554" t="inlineStr"/>
      <c r="G554" t="inlineStr">
        <is>
          <t>Toledo|Western Michigan</t>
        </is>
      </c>
    </row>
    <row r="555">
      <c r="A555" t="inlineStr">
        <is>
          <t>Sat Oct 24  TBD</t>
        </is>
      </c>
      <c r="B555" t="n">
        <v>8</v>
      </c>
      <c r="C555" t="inlineStr">
        <is>
          <t>UTSA</t>
        </is>
      </c>
      <c r="D555" t="inlineStr">
        <is>
          <t>Tulane</t>
        </is>
      </c>
      <c r="E555" t="inlineStr">
        <is>
          <t>Yulman Stadium</t>
        </is>
      </c>
      <c r="F555" t="inlineStr"/>
      <c r="G555" t="inlineStr">
        <is>
          <t>Tulane|UTSA</t>
        </is>
      </c>
    </row>
    <row r="556">
      <c r="A556" t="inlineStr">
        <is>
          <t>Sat Oct 24  TBD</t>
        </is>
      </c>
      <c r="B556" t="n">
        <v>8</v>
      </c>
      <c r="C556" t="inlineStr">
        <is>
          <t>Miami (OH)</t>
        </is>
      </c>
      <c r="D556" t="inlineStr">
        <is>
          <t>Central Michigan</t>
        </is>
      </c>
      <c r="E556" t="inlineStr">
        <is>
          <t>Kelly/Shorts Stadium</t>
        </is>
      </c>
      <c r="F556" t="inlineStr"/>
      <c r="G556" t="inlineStr">
        <is>
          <t>Central Michigan|Miami (OH)</t>
        </is>
      </c>
    </row>
    <row r="557">
      <c r="A557" t="inlineStr">
        <is>
          <t>Sat Oct 24  TBD</t>
        </is>
      </c>
      <c r="B557" t="n">
        <v>8</v>
      </c>
      <c r="C557" t="inlineStr">
        <is>
          <t>Sacramento State</t>
        </is>
      </c>
      <c r="D557" t="inlineStr">
        <is>
          <t>Ball State</t>
        </is>
      </c>
      <c r="E557" t="inlineStr">
        <is>
          <t>Scheumann Stadium</t>
        </is>
      </c>
      <c r="F557" t="inlineStr"/>
      <c r="G557" t="inlineStr">
        <is>
          <t>Ball State|Sacramento State</t>
        </is>
      </c>
    </row>
    <row r="558">
      <c r="A558" t="inlineStr">
        <is>
          <t>Sat Oct 24  TBD</t>
        </is>
      </c>
      <c r="B558" t="n">
        <v>8</v>
      </c>
      <c r="C558" t="inlineStr">
        <is>
          <t>Oregon</t>
        </is>
      </c>
      <c r="D558" t="inlineStr">
        <is>
          <t>Illinois</t>
        </is>
      </c>
      <c r="E558" t="inlineStr">
        <is>
          <t>Memorial Stadium (Champaign, IL)</t>
        </is>
      </c>
      <c r="F558" t="inlineStr"/>
      <c r="G558" t="inlineStr">
        <is>
          <t>Illinois|Oregon</t>
        </is>
      </c>
    </row>
    <row r="559">
      <c r="A559" t="inlineStr">
        <is>
          <t>Sat Oct 24  TBD</t>
        </is>
      </c>
      <c r="B559" t="n">
        <v>8</v>
      </c>
      <c r="C559" t="inlineStr">
        <is>
          <t>Hawaii</t>
        </is>
      </c>
      <c r="D559" t="inlineStr">
        <is>
          <t>Northern Illinois</t>
        </is>
      </c>
      <c r="E559" t="inlineStr">
        <is>
          <t>Huskie Stadium</t>
        </is>
      </c>
      <c r="F559" t="inlineStr"/>
      <c r="G559" t="inlineStr">
        <is>
          <t>Hawaii|Northern Illinois</t>
        </is>
      </c>
    </row>
    <row r="560">
      <c r="A560" t="inlineStr">
        <is>
          <t>Sat Oct 24  12:00 PM ET</t>
        </is>
      </c>
      <c r="B560" t="n">
        <v>8</v>
      </c>
      <c r="C560" t="inlineStr">
        <is>
          <t>LSU</t>
        </is>
      </c>
      <c r="D560" t="inlineStr">
        <is>
          <t>Auburn</t>
        </is>
      </c>
      <c r="E560" t="inlineStr">
        <is>
          <t>Jordan-Hare Stadium</t>
        </is>
      </c>
      <c r="F560" t="inlineStr"/>
      <c r="G560" t="inlineStr">
        <is>
          <t>Auburn|LSU</t>
        </is>
      </c>
    </row>
    <row r="561">
      <c r="A561" t="inlineStr">
        <is>
          <t>Sat Oct 24  3:30 PM ET</t>
        </is>
      </c>
      <c r="B561" t="n">
        <v>8</v>
      </c>
      <c r="C561" t="inlineStr">
        <is>
          <t>North Texas</t>
        </is>
      </c>
      <c r="D561" t="inlineStr">
        <is>
          <t>Navy</t>
        </is>
      </c>
      <c r="E561" t="inlineStr">
        <is>
          <t>Navy-Marine Corps Memorial Stadium</t>
        </is>
      </c>
      <c r="F561" t="inlineStr"/>
      <c r="G561" t="inlineStr">
        <is>
          <t>Navy|North Texas</t>
        </is>
      </c>
    </row>
    <row r="562">
      <c r="A562" t="inlineStr">
        <is>
          <t>Sat Oct 24  5:00 PM ET</t>
        </is>
      </c>
      <c r="B562" t="n">
        <v>8</v>
      </c>
      <c r="C562" t="inlineStr">
        <is>
          <t>San Jose State</t>
        </is>
      </c>
      <c r="D562" t="inlineStr">
        <is>
          <t>Nevada</t>
        </is>
      </c>
      <c r="E562" t="inlineStr">
        <is>
          <t>Mackay Stadium</t>
        </is>
      </c>
      <c r="F562" t="inlineStr"/>
      <c r="G562" t="inlineStr">
        <is>
          <t>Nevada|San Jose State</t>
        </is>
      </c>
    </row>
    <row r="563">
      <c r="A563" t="inlineStr">
        <is>
          <t>Sat Oct 24  6:00 PM ET</t>
        </is>
      </c>
      <c r="B563" t="n">
        <v>8</v>
      </c>
      <c r="C563" t="inlineStr">
        <is>
          <t>Boise State</t>
        </is>
      </c>
      <c r="D563" t="inlineStr">
        <is>
          <t>Washington State</t>
        </is>
      </c>
      <c r="E563" t="inlineStr">
        <is>
          <t>Gesa Field</t>
        </is>
      </c>
      <c r="F563" t="inlineStr"/>
      <c r="G563" t="inlineStr">
        <is>
          <t>Boise State|Washington State</t>
        </is>
      </c>
    </row>
    <row r="564">
      <c r="A564" t="inlineStr">
        <is>
          <t>Sat Oct 24  6:30 PM ET</t>
        </is>
      </c>
      <c r="B564" t="n">
        <v>8</v>
      </c>
      <c r="C564" t="inlineStr">
        <is>
          <t>San Diego State</t>
        </is>
      </c>
      <c r="D564" t="inlineStr">
        <is>
          <t>Colorado State</t>
        </is>
      </c>
      <c r="E564" t="inlineStr">
        <is>
          <t>Canvas Stadium</t>
        </is>
      </c>
      <c r="F564" t="inlineStr"/>
      <c r="G564" t="inlineStr">
        <is>
          <t>Colorado State|San Diego State</t>
        </is>
      </c>
    </row>
    <row r="565">
      <c r="A565" t="inlineStr">
        <is>
          <t>Sat Oct 24  7:00 PM ET</t>
        </is>
      </c>
      <c r="B565" t="n">
        <v>8</v>
      </c>
      <c r="C565" t="inlineStr">
        <is>
          <t>Georgia State</t>
        </is>
      </c>
      <c r="D565" t="inlineStr">
        <is>
          <t>Arkansas State</t>
        </is>
      </c>
      <c r="E565" t="inlineStr">
        <is>
          <t>Centennial Bank Stadium</t>
        </is>
      </c>
      <c r="F565" t="inlineStr"/>
      <c r="G565" t="inlineStr">
        <is>
          <t>Arkansas State|Georgia State</t>
        </is>
      </c>
    </row>
    <row r="566">
      <c r="A566" t="inlineStr">
        <is>
          <t>Sat Oct 24  7:30 PM ET</t>
        </is>
      </c>
      <c r="B566" t="n">
        <v>8</v>
      </c>
      <c r="C566" t="inlineStr">
        <is>
          <t>Utah State</t>
        </is>
      </c>
      <c r="D566" t="inlineStr">
        <is>
          <t>Texas State</t>
        </is>
      </c>
      <c r="E566" t="inlineStr">
        <is>
          <t>Bobcat Stadium (TX)</t>
        </is>
      </c>
      <c r="F566" t="inlineStr"/>
      <c r="G566" t="inlineStr">
        <is>
          <t>Texas State|Utah State</t>
        </is>
      </c>
    </row>
    <row r="567">
      <c r="A567" t="inlineStr">
        <is>
          <t>Sat Oct 24  10:00 PM ET</t>
        </is>
      </c>
      <c r="B567" t="n">
        <v>8</v>
      </c>
      <c r="C567" t="inlineStr">
        <is>
          <t>North Dakota State</t>
        </is>
      </c>
      <c r="D567" t="inlineStr">
        <is>
          <t>New Mexico</t>
        </is>
      </c>
      <c r="E567" t="inlineStr">
        <is>
          <t>University Stadium (NM)</t>
        </is>
      </c>
      <c r="F567" t="inlineStr"/>
      <c r="G567" t="inlineStr">
        <is>
          <t>New Mexico|North Dakota State</t>
        </is>
      </c>
    </row>
    <row r="568">
      <c r="A568" t="inlineStr">
        <is>
          <t>Tue Oct 27  7:00 PM ET</t>
        </is>
      </c>
      <c r="B568" t="n">
        <v>9</v>
      </c>
      <c r="C568" t="inlineStr">
        <is>
          <t>Delaware</t>
        </is>
      </c>
      <c r="D568" t="inlineStr">
        <is>
          <t>Western Kentucky</t>
        </is>
      </c>
      <c r="E568" t="inlineStr">
        <is>
          <t>Houchens Industries-L.T. Smith Stadium</t>
        </is>
      </c>
      <c r="F568" t="inlineStr"/>
      <c r="G568" t="inlineStr">
        <is>
          <t>Delaware|Western Kentucky</t>
        </is>
      </c>
    </row>
    <row r="569">
      <c r="A569" t="inlineStr">
        <is>
          <t>Tue Oct 27  8:00 PM ET</t>
        </is>
      </c>
      <c r="B569" t="n">
        <v>9</v>
      </c>
      <c r="C569" t="inlineStr">
        <is>
          <t>Sam Houston</t>
        </is>
      </c>
      <c r="D569" t="inlineStr">
        <is>
          <t>Missouri State</t>
        </is>
      </c>
      <c r="E569" t="inlineStr">
        <is>
          <t>Plaster Sports Complex</t>
        </is>
      </c>
      <c r="F569" t="inlineStr"/>
      <c r="G569" t="inlineStr">
        <is>
          <t>Missouri State|Sam Houston</t>
        </is>
      </c>
    </row>
    <row r="570">
      <c r="A570" t="inlineStr">
        <is>
          <t>Wed Oct 28  7:00 PM ET</t>
        </is>
      </c>
      <c r="B570" t="n">
        <v>9</v>
      </c>
      <c r="C570" t="inlineStr">
        <is>
          <t>Kennesaw State</t>
        </is>
      </c>
      <c r="D570" t="inlineStr">
        <is>
          <t>Middle Tennessee</t>
        </is>
      </c>
      <c r="E570" t="inlineStr">
        <is>
          <t>Johnny "Red" Floyd Stadium</t>
        </is>
      </c>
      <c r="F570" t="inlineStr"/>
      <c r="G570" t="inlineStr">
        <is>
          <t>Kennesaw State|Middle Tennessee</t>
        </is>
      </c>
    </row>
    <row r="571">
      <c r="A571" t="inlineStr">
        <is>
          <t>Wed Oct 28  8:00 PM ET</t>
        </is>
      </c>
      <c r="B571" t="n">
        <v>9</v>
      </c>
      <c r="C571" t="inlineStr">
        <is>
          <t>Jacksonville State</t>
        </is>
      </c>
      <c r="D571" t="inlineStr">
        <is>
          <t>New Mexico State</t>
        </is>
      </c>
      <c r="E571" t="inlineStr">
        <is>
          <t>Aggie Memorial Stadium</t>
        </is>
      </c>
      <c r="F571" t="inlineStr"/>
      <c r="G571" t="inlineStr">
        <is>
          <t>Jacksonville State|New Mexico State</t>
        </is>
      </c>
    </row>
    <row r="572">
      <c r="A572" t="inlineStr">
        <is>
          <t>Thu Oct 29  7:30 PM ET</t>
        </is>
      </c>
      <c r="B572" t="n">
        <v>9</v>
      </c>
      <c r="C572" t="inlineStr">
        <is>
          <t>Florida Atlantic</t>
        </is>
      </c>
      <c r="D572" t="inlineStr">
        <is>
          <t>North Texas</t>
        </is>
      </c>
      <c r="E572" t="inlineStr">
        <is>
          <t>DATCU Stadium</t>
        </is>
      </c>
      <c r="F572" t="inlineStr"/>
      <c r="G572" t="inlineStr">
        <is>
          <t>Florida Atlantic|North Texas</t>
        </is>
      </c>
    </row>
    <row r="573">
      <c r="A573" t="inlineStr">
        <is>
          <t>Thu Oct 29  7:30 PM ET</t>
        </is>
      </c>
      <c r="B573" t="n">
        <v>9</v>
      </c>
      <c r="C573" t="inlineStr">
        <is>
          <t>Troy</t>
        </is>
      </c>
      <c r="D573" t="inlineStr">
        <is>
          <t>James Madison</t>
        </is>
      </c>
      <c r="E573" t="inlineStr">
        <is>
          <t>Bridgeforth Stadium</t>
        </is>
      </c>
      <c r="F573" t="inlineStr"/>
      <c r="G573" t="inlineStr">
        <is>
          <t>James Madison|Troy</t>
        </is>
      </c>
    </row>
    <row r="574">
      <c r="A574" t="inlineStr">
        <is>
          <t>Fri Oct 30  7:00 PM ET</t>
        </is>
      </c>
      <c r="B574" t="n">
        <v>9</v>
      </c>
      <c r="C574" t="inlineStr">
        <is>
          <t>Tulane</t>
        </is>
      </c>
      <c r="D574" t="inlineStr">
        <is>
          <t>Charlotte</t>
        </is>
      </c>
      <c r="E574" t="inlineStr">
        <is>
          <t>Jerry Richardson Stadium</t>
        </is>
      </c>
      <c r="F574" t="inlineStr"/>
      <c r="G574" t="inlineStr">
        <is>
          <t>Charlotte|Tulane</t>
        </is>
      </c>
    </row>
    <row r="575">
      <c r="A575" t="inlineStr">
        <is>
          <t>Fri Oct 30  7:30 PM ET</t>
        </is>
      </c>
      <c r="B575" t="n">
        <v>9</v>
      </c>
      <c r="C575" t="inlineStr">
        <is>
          <t>Baylor</t>
        </is>
      </c>
      <c r="D575" t="inlineStr">
        <is>
          <t>UCF</t>
        </is>
      </c>
      <c r="E575" t="inlineStr">
        <is>
          <t>FBC Mortgage Stadium</t>
        </is>
      </c>
      <c r="F575" t="inlineStr"/>
      <c r="G575" t="inlineStr">
        <is>
          <t>Baylor|UCF</t>
        </is>
      </c>
    </row>
    <row r="576">
      <c r="A576" t="inlineStr">
        <is>
          <t>Fri Oct 30  10:30 PM ET</t>
        </is>
      </c>
      <c r="B576" t="n">
        <v>9</v>
      </c>
      <c r="C576" t="inlineStr">
        <is>
          <t>Kent State</t>
        </is>
      </c>
      <c r="D576" t="inlineStr">
        <is>
          <t>Sacramento State</t>
        </is>
      </c>
      <c r="E576" t="inlineStr">
        <is>
          <t>Hornet Stadium</t>
        </is>
      </c>
      <c r="F576" t="inlineStr"/>
      <c r="G576" t="inlineStr">
        <is>
          <t>Kent State|Sacramento State</t>
        </is>
      </c>
    </row>
    <row r="577">
      <c r="A577" t="inlineStr">
        <is>
          <t>Sat Oct 31  TBD</t>
        </is>
      </c>
      <c r="B577" t="n">
        <v>9</v>
      </c>
      <c r="C577" t="inlineStr">
        <is>
          <t>California</t>
        </is>
      </c>
      <c r="D577" t="inlineStr">
        <is>
          <t>NC State</t>
        </is>
      </c>
      <c r="E577" t="inlineStr">
        <is>
          <t>Carter-Finley Stadium</t>
        </is>
      </c>
      <c r="F577" t="inlineStr"/>
      <c r="G577" t="inlineStr">
        <is>
          <t>California|NC State</t>
        </is>
      </c>
    </row>
    <row r="578">
      <c r="A578" t="inlineStr">
        <is>
          <t>Sat Oct 31  TBD</t>
        </is>
      </c>
      <c r="B578" t="n">
        <v>9</v>
      </c>
      <c r="C578" t="inlineStr">
        <is>
          <t>Arizona State</t>
        </is>
      </c>
      <c r="D578" t="inlineStr">
        <is>
          <t>BYU</t>
        </is>
      </c>
      <c r="E578" t="inlineStr">
        <is>
          <t>LaVell Edwards Stadium</t>
        </is>
      </c>
      <c r="F578" t="inlineStr"/>
      <c r="G578" t="inlineStr">
        <is>
          <t>Arizona State|BYU</t>
        </is>
      </c>
    </row>
    <row r="579">
      <c r="A579" t="inlineStr">
        <is>
          <t>Sat Oct 31  TBD</t>
        </is>
      </c>
      <c r="B579" t="n">
        <v>9</v>
      </c>
      <c r="C579" t="inlineStr">
        <is>
          <t>Northwestern</t>
        </is>
      </c>
      <c r="D579" t="inlineStr">
        <is>
          <t>Oregon</t>
        </is>
      </c>
      <c r="E579" t="inlineStr">
        <is>
          <t>Autzen Stadium</t>
        </is>
      </c>
      <c r="F579" t="inlineStr"/>
      <c r="G579" t="inlineStr">
        <is>
          <t>Northwestern|Oregon</t>
        </is>
      </c>
    </row>
    <row r="580">
      <c r="A580" t="inlineStr">
        <is>
          <t>Sat Oct 31  TBD</t>
        </is>
      </c>
      <c r="B580" t="n">
        <v>9</v>
      </c>
      <c r="C580" t="inlineStr">
        <is>
          <t>Coastal Carolina</t>
        </is>
      </c>
      <c r="D580" t="inlineStr">
        <is>
          <t>Georgia State</t>
        </is>
      </c>
      <c r="E580" t="inlineStr">
        <is>
          <t>Center Parc Stadium</t>
        </is>
      </c>
      <c r="F580" t="inlineStr"/>
      <c r="G580" t="inlineStr">
        <is>
          <t>Coastal Carolina|Georgia State</t>
        </is>
      </c>
    </row>
    <row r="581">
      <c r="A581" t="inlineStr">
        <is>
          <t>Sat Oct 31  TBD</t>
        </is>
      </c>
      <c r="B581" t="n">
        <v>9</v>
      </c>
      <c r="C581" t="inlineStr">
        <is>
          <t>Southern Miss</t>
        </is>
      </c>
      <c r="D581" t="inlineStr">
        <is>
          <t>Louisiana-Monroe</t>
        </is>
      </c>
      <c r="E581" t="inlineStr">
        <is>
          <t>Malone Stadium</t>
        </is>
      </c>
      <c r="F581" t="inlineStr"/>
      <c r="G581" t="inlineStr">
        <is>
          <t>Louisiana-Monroe|Southern Miss</t>
        </is>
      </c>
    </row>
    <row r="582">
      <c r="A582" t="inlineStr">
        <is>
          <t>Sat Oct 31  TBD</t>
        </is>
      </c>
      <c r="B582" t="n">
        <v>9</v>
      </c>
      <c r="C582" t="inlineStr">
        <is>
          <t>Marshall</t>
        </is>
      </c>
      <c r="D582" t="inlineStr">
        <is>
          <t>Old Dominion</t>
        </is>
      </c>
      <c r="E582" t="inlineStr">
        <is>
          <t>S.B. Ballard Stadium</t>
        </is>
      </c>
      <c r="F582" t="inlineStr"/>
      <c r="G582" t="inlineStr">
        <is>
          <t>Marshall|Old Dominion</t>
        </is>
      </c>
    </row>
    <row r="583">
      <c r="A583" t="inlineStr">
        <is>
          <t>Sat Oct 31  TBD</t>
        </is>
      </c>
      <c r="B583" t="n">
        <v>9</v>
      </c>
      <c r="C583" t="inlineStr">
        <is>
          <t>Ohio State</t>
        </is>
      </c>
      <c r="D583" t="inlineStr">
        <is>
          <t>USC</t>
        </is>
      </c>
      <c r="E583" t="inlineStr">
        <is>
          <t>Los Angeles Memorial Coliseum</t>
        </is>
      </c>
      <c r="F583" t="inlineStr"/>
      <c r="G583" t="inlineStr">
        <is>
          <t>Ohio State|USC</t>
        </is>
      </c>
    </row>
    <row r="584">
      <c r="A584" t="inlineStr">
        <is>
          <t>Sat Oct 31  TBD</t>
        </is>
      </c>
      <c r="B584" t="n">
        <v>9</v>
      </c>
      <c r="C584" t="inlineStr">
        <is>
          <t>Oregon State</t>
        </is>
      </c>
      <c r="D584" t="inlineStr">
        <is>
          <t>Fresno State</t>
        </is>
      </c>
      <c r="E584" t="inlineStr">
        <is>
          <t>Valley Children's Stadium</t>
        </is>
      </c>
      <c r="F584" t="inlineStr"/>
      <c r="G584" t="inlineStr">
        <is>
          <t>Fresno State|Oregon State</t>
        </is>
      </c>
    </row>
    <row r="585">
      <c r="A585" t="inlineStr">
        <is>
          <t>Sat Oct 31  TBD</t>
        </is>
      </c>
      <c r="B585" t="n">
        <v>9</v>
      </c>
      <c r="C585" t="inlineStr">
        <is>
          <t>Army</t>
        </is>
      </c>
      <c r="D585" t="inlineStr">
        <is>
          <t>Memphis</t>
        </is>
      </c>
      <c r="E585" t="inlineStr">
        <is>
          <t>Simmons Bank Liberty Stadium</t>
        </is>
      </c>
      <c r="F585" t="inlineStr"/>
      <c r="G585" t="inlineStr">
        <is>
          <t>Army|Memphis</t>
        </is>
      </c>
    </row>
    <row r="586">
      <c r="A586" t="inlineStr">
        <is>
          <t>Sat Oct 31  TBD</t>
        </is>
      </c>
      <c r="B586" t="n">
        <v>9</v>
      </c>
      <c r="C586" t="inlineStr">
        <is>
          <t>Illinois</t>
        </is>
      </c>
      <c r="D586" t="inlineStr">
        <is>
          <t>Maryland</t>
        </is>
      </c>
      <c r="E586" t="inlineStr">
        <is>
          <t>SECU Stadium</t>
        </is>
      </c>
      <c r="F586" t="inlineStr"/>
      <c r="G586" t="inlineStr">
        <is>
          <t>Illinois|Maryland</t>
        </is>
      </c>
    </row>
    <row r="587">
      <c r="A587" t="inlineStr">
        <is>
          <t>Sat Oct 31  TBD</t>
        </is>
      </c>
      <c r="B587" t="n">
        <v>9</v>
      </c>
      <c r="C587" t="inlineStr">
        <is>
          <t>Clemson</t>
        </is>
      </c>
      <c r="D587" t="inlineStr">
        <is>
          <t>Florida State</t>
        </is>
      </c>
      <c r="E587" t="inlineStr">
        <is>
          <t>Doak Campbell Stadium</t>
        </is>
      </c>
      <c r="F587" t="inlineStr"/>
      <c r="G587" t="inlineStr">
        <is>
          <t>Clemson|Florida State</t>
        </is>
      </c>
    </row>
    <row r="588">
      <c r="A588" t="inlineStr">
        <is>
          <t>Sat Oct 31  TBD</t>
        </is>
      </c>
      <c r="B588" t="n">
        <v>9</v>
      </c>
      <c r="C588" t="inlineStr">
        <is>
          <t>Oklahoma State</t>
        </is>
      </c>
      <c r="D588" t="inlineStr">
        <is>
          <t>Iowa State</t>
        </is>
      </c>
      <c r="E588" t="inlineStr">
        <is>
          <t>Jack Trice Stadium</t>
        </is>
      </c>
      <c r="F588" t="inlineStr"/>
      <c r="G588" t="inlineStr">
        <is>
          <t>Iowa State|Oklahoma State</t>
        </is>
      </c>
    </row>
    <row r="589">
      <c r="A589" t="inlineStr">
        <is>
          <t>Sat Oct 31  TBD</t>
        </is>
      </c>
      <c r="B589" t="n">
        <v>9</v>
      </c>
      <c r="C589" t="inlineStr">
        <is>
          <t>Kansas</t>
        </is>
      </c>
      <c r="D589" t="inlineStr">
        <is>
          <t>TCU</t>
        </is>
      </c>
      <c r="E589" t="inlineStr">
        <is>
          <t>Amon G. Carter Stadium</t>
        </is>
      </c>
      <c r="F589" t="inlineStr"/>
      <c r="G589" t="inlineStr">
        <is>
          <t>Kansas|TCU</t>
        </is>
      </c>
    </row>
    <row r="590">
      <c r="A590" t="inlineStr">
        <is>
          <t>Sat Oct 31  TBD</t>
        </is>
      </c>
      <c r="B590" t="n">
        <v>9</v>
      </c>
      <c r="C590" t="inlineStr">
        <is>
          <t>Virginia</t>
        </is>
      </c>
      <c r="D590" t="inlineStr">
        <is>
          <t>Wake Forest</t>
        </is>
      </c>
      <c r="E590" t="inlineStr">
        <is>
          <t>Allegacy Federal Credit Union Stadium</t>
        </is>
      </c>
      <c r="F590" t="inlineStr"/>
      <c r="G590" t="inlineStr">
        <is>
          <t>Virginia|Wake Forest</t>
        </is>
      </c>
    </row>
    <row r="591">
      <c r="A591" t="inlineStr">
        <is>
          <t>Sat Oct 31  TBD</t>
        </is>
      </c>
      <c r="B591" t="n">
        <v>9</v>
      </c>
      <c r="C591" t="inlineStr">
        <is>
          <t>Missouri</t>
        </is>
      </c>
      <c r="D591" t="inlineStr">
        <is>
          <t>Arkansas</t>
        </is>
      </c>
      <c r="E591" t="inlineStr">
        <is>
          <t>Razorback Stadium</t>
        </is>
      </c>
      <c r="F591" t="inlineStr"/>
      <c r="G591" t="inlineStr">
        <is>
          <t>Arkansas|Missouri</t>
        </is>
      </c>
    </row>
    <row r="592">
      <c r="A592" t="inlineStr">
        <is>
          <t>Sat Oct 31  TBD</t>
        </is>
      </c>
      <c r="B592" t="n">
        <v>9</v>
      </c>
      <c r="C592" t="inlineStr">
        <is>
          <t>Auburn</t>
        </is>
      </c>
      <c r="D592" t="inlineStr">
        <is>
          <t>Ole Miss</t>
        </is>
      </c>
      <c r="E592" t="inlineStr">
        <is>
          <t>Vaught-Hemingway Stadium</t>
        </is>
      </c>
      <c r="F592" t="inlineStr"/>
      <c r="G592" t="inlineStr">
        <is>
          <t>Auburn|Ole Miss</t>
        </is>
      </c>
    </row>
    <row r="593">
      <c r="A593" t="inlineStr">
        <is>
          <t>Sat Oct 31  TBD</t>
        </is>
      </c>
      <c r="B593" t="n">
        <v>9</v>
      </c>
      <c r="C593" t="inlineStr">
        <is>
          <t>South Carolina</t>
        </is>
      </c>
      <c r="D593" t="inlineStr">
        <is>
          <t>Oklahoma</t>
        </is>
      </c>
      <c r="E593" t="inlineStr">
        <is>
          <t>Memorial Stadium (Norman, OK)</t>
        </is>
      </c>
      <c r="F593" t="inlineStr"/>
      <c r="G593" t="inlineStr">
        <is>
          <t>Oklahoma|South Carolina</t>
        </is>
      </c>
    </row>
    <row r="594">
      <c r="A594" t="inlineStr">
        <is>
          <t>Sat Oct 31  TBD</t>
        </is>
      </c>
      <c r="B594" t="n">
        <v>9</v>
      </c>
      <c r="C594" t="inlineStr">
        <is>
          <t>Arizona</t>
        </is>
      </c>
      <c r="D594" t="inlineStr">
        <is>
          <t>Texas Tech</t>
        </is>
      </c>
      <c r="E594" t="inlineStr">
        <is>
          <t>Jones AT&amp;T Stadium</t>
        </is>
      </c>
      <c r="F594" t="inlineStr"/>
      <c r="G594" t="inlineStr">
        <is>
          <t>Arizona|Texas Tech</t>
        </is>
      </c>
    </row>
    <row r="595">
      <c r="A595" t="inlineStr">
        <is>
          <t>Sat Oct 31  TBD</t>
        </is>
      </c>
      <c r="B595" t="n">
        <v>9</v>
      </c>
      <c r="C595" t="inlineStr">
        <is>
          <t>Kansas State</t>
        </is>
      </c>
      <c r="D595" t="inlineStr">
        <is>
          <t>Colorado</t>
        </is>
      </c>
      <c r="E595" t="inlineStr">
        <is>
          <t>Folsom Field</t>
        </is>
      </c>
      <c r="F595" t="inlineStr"/>
      <c r="G595" t="inlineStr">
        <is>
          <t>Colorado|Kansas State</t>
        </is>
      </c>
    </row>
    <row r="596">
      <c r="A596" t="inlineStr">
        <is>
          <t>Sat Oct 31  TBD</t>
        </is>
      </c>
      <c r="B596" t="n">
        <v>9</v>
      </c>
      <c r="C596" t="inlineStr">
        <is>
          <t>Utah</t>
        </is>
      </c>
      <c r="D596" t="inlineStr">
        <is>
          <t>Cincinnati</t>
        </is>
      </c>
      <c r="E596" t="inlineStr">
        <is>
          <t>Nippert Stadium</t>
        </is>
      </c>
      <c r="F596" t="inlineStr"/>
      <c r="G596" t="inlineStr">
        <is>
          <t>Cincinnati|Utah</t>
        </is>
      </c>
    </row>
    <row r="597">
      <c r="A597" t="inlineStr">
        <is>
          <t>Sat Oct 31  TBD</t>
        </is>
      </c>
      <c r="B597" t="n">
        <v>9</v>
      </c>
      <c r="C597" t="inlineStr">
        <is>
          <t>SMU</t>
        </is>
      </c>
      <c r="D597" t="inlineStr">
        <is>
          <t>Syracuse</t>
        </is>
      </c>
      <c r="E597" t="inlineStr">
        <is>
          <t>JMA Wireless Dome</t>
        </is>
      </c>
      <c r="F597" t="inlineStr"/>
      <c r="G597" t="inlineStr">
        <is>
          <t>SMU|Syracuse</t>
        </is>
      </c>
    </row>
    <row r="598">
      <c r="A598" t="inlineStr">
        <is>
          <t>Sat Oct 31  TBD</t>
        </is>
      </c>
      <c r="B598" t="n">
        <v>9</v>
      </c>
      <c r="C598" t="inlineStr">
        <is>
          <t>Boston College</t>
        </is>
      </c>
      <c r="D598" t="inlineStr">
        <is>
          <t>Duke</t>
        </is>
      </c>
      <c r="E598" t="inlineStr">
        <is>
          <t>Wallace Wade Stadium</t>
        </is>
      </c>
      <c r="F598" t="inlineStr"/>
      <c r="G598" t="inlineStr">
        <is>
          <t>Boston College|Duke</t>
        </is>
      </c>
    </row>
    <row r="599">
      <c r="A599" t="inlineStr">
        <is>
          <t>Sat Oct 31  TBD</t>
        </is>
      </c>
      <c r="B599" t="n">
        <v>9</v>
      </c>
      <c r="C599" t="inlineStr">
        <is>
          <t>Miami</t>
        </is>
      </c>
      <c r="D599" t="inlineStr">
        <is>
          <t>North Carolina</t>
        </is>
      </c>
      <c r="E599" t="inlineStr">
        <is>
          <t>Kenan Stadium</t>
        </is>
      </c>
      <c r="F599" t="inlineStr"/>
      <c r="G599" t="inlineStr">
        <is>
          <t>Miami|North Carolina</t>
        </is>
      </c>
    </row>
    <row r="600">
      <c r="A600" t="inlineStr">
        <is>
          <t>Sat Oct 31  TBD</t>
        </is>
      </c>
      <c r="B600" t="n">
        <v>9</v>
      </c>
      <c r="C600" t="inlineStr">
        <is>
          <t>Minnesota</t>
        </is>
      </c>
      <c r="D600" t="inlineStr">
        <is>
          <t>Indiana</t>
        </is>
      </c>
      <c r="E600" t="inlineStr">
        <is>
          <t>Memorial Stadium (Bloomington, IN)</t>
        </is>
      </c>
      <c r="F600" t="inlineStr"/>
      <c r="G600" t="inlineStr">
        <is>
          <t>Indiana|Minnesota</t>
        </is>
      </c>
    </row>
    <row r="601">
      <c r="A601" t="inlineStr">
        <is>
          <t>Sat Oct 31  TBD</t>
        </is>
      </c>
      <c r="B601" t="n">
        <v>9</v>
      </c>
      <c r="C601" t="inlineStr">
        <is>
          <t>Wisconsin</t>
        </is>
      </c>
      <c r="D601" t="inlineStr">
        <is>
          <t>Iowa</t>
        </is>
      </c>
      <c r="E601" t="inlineStr">
        <is>
          <t>Kinnick Stadium</t>
        </is>
      </c>
      <c r="F601" t="inlineStr"/>
      <c r="G601" t="inlineStr">
        <is>
          <t>Iowa|Wisconsin</t>
        </is>
      </c>
    </row>
    <row r="602">
      <c r="A602" t="inlineStr">
        <is>
          <t>Sat Oct 31  TBD</t>
        </is>
      </c>
      <c r="B602" t="n">
        <v>9</v>
      </c>
      <c r="C602" t="inlineStr">
        <is>
          <t>Washington</t>
        </is>
      </c>
      <c r="D602" t="inlineStr">
        <is>
          <t>Nebraska</t>
        </is>
      </c>
      <c r="E602" t="inlineStr">
        <is>
          <t>Memorial Stadium (Lincoln, NE)</t>
        </is>
      </c>
      <c r="F602" t="inlineStr"/>
      <c r="G602" t="inlineStr">
        <is>
          <t>Nebraska|Washington</t>
        </is>
      </c>
    </row>
    <row r="603">
      <c r="A603" t="inlineStr">
        <is>
          <t>Sat Oct 31  TBD</t>
        </is>
      </c>
      <c r="B603" t="n">
        <v>9</v>
      </c>
      <c r="C603" t="inlineStr">
        <is>
          <t>Appalachian State</t>
        </is>
      </c>
      <c r="D603" t="inlineStr">
        <is>
          <t>Georgia Southern</t>
        </is>
      </c>
      <c r="E603" t="inlineStr">
        <is>
          <t>Allen E. Paulson Stadium</t>
        </is>
      </c>
      <c r="F603" t="inlineStr"/>
      <c r="G603" t="inlineStr">
        <is>
          <t>Appalachian State|Georgia Southern</t>
        </is>
      </c>
    </row>
    <row r="604">
      <c r="A604" t="inlineStr">
        <is>
          <t>Sat Oct 31  TBD</t>
        </is>
      </c>
      <c r="B604" t="n">
        <v>9</v>
      </c>
      <c r="C604" t="inlineStr">
        <is>
          <t>Nevada</t>
        </is>
      </c>
      <c r="D604" t="inlineStr">
        <is>
          <t>UCLA</t>
        </is>
      </c>
      <c r="E604" t="inlineStr">
        <is>
          <t>Rose Bowl</t>
        </is>
      </c>
      <c r="F604" t="inlineStr"/>
      <c r="G604" t="inlineStr">
        <is>
          <t>Nevada|UCLA</t>
        </is>
      </c>
    </row>
    <row r="605">
      <c r="A605" t="inlineStr">
        <is>
          <t>Sat Oct 31  TBD</t>
        </is>
      </c>
      <c r="B605" t="n">
        <v>9</v>
      </c>
      <c r="C605" t="inlineStr">
        <is>
          <t>Temple</t>
        </is>
      </c>
      <c r="D605" t="inlineStr">
        <is>
          <t>East Carolina</t>
        </is>
      </c>
      <c r="E605" t="inlineStr">
        <is>
          <t>Dowdy-Ficklen Stadium</t>
        </is>
      </c>
      <c r="F605" t="inlineStr"/>
      <c r="G605" t="inlineStr">
        <is>
          <t>East Carolina|Temple</t>
        </is>
      </c>
    </row>
    <row r="606">
      <c r="A606" t="inlineStr">
        <is>
          <t>Sat Oct 31  TBD</t>
        </is>
      </c>
      <c r="B606" t="n">
        <v>9</v>
      </c>
      <c r="C606" t="inlineStr">
        <is>
          <t>Stanford</t>
        </is>
      </c>
      <c r="D606" t="inlineStr">
        <is>
          <t>Louisville</t>
        </is>
      </c>
      <c r="E606" t="inlineStr">
        <is>
          <t>L&amp;N Federal Credit Union Stadium</t>
        </is>
      </c>
      <c r="F606" t="inlineStr"/>
      <c r="G606" t="inlineStr">
        <is>
          <t>Louisville|Stanford</t>
        </is>
      </c>
    </row>
    <row r="607">
      <c r="A607" t="inlineStr">
        <is>
          <t>Sat Oct 31  TBD</t>
        </is>
      </c>
      <c r="B607" t="n">
        <v>9</v>
      </c>
      <c r="C607" t="inlineStr">
        <is>
          <t>UAB</t>
        </is>
      </c>
      <c r="D607" t="inlineStr">
        <is>
          <t>South Florida</t>
        </is>
      </c>
      <c r="E607" t="inlineStr">
        <is>
          <t>Raymond James Stadium</t>
        </is>
      </c>
      <c r="F607" t="inlineStr"/>
      <c r="G607" t="inlineStr">
        <is>
          <t>South Florida|UAB</t>
        </is>
      </c>
    </row>
    <row r="608">
      <c r="A608" t="inlineStr">
        <is>
          <t>Sat Oct 31  TBD</t>
        </is>
      </c>
      <c r="B608" t="n">
        <v>9</v>
      </c>
      <c r="C608" t="inlineStr">
        <is>
          <t>Mississippi State</t>
        </is>
      </c>
      <c r="D608" t="inlineStr">
        <is>
          <t>Texas</t>
        </is>
      </c>
      <c r="E608" t="inlineStr">
        <is>
          <t>DKR-Texas Memorial Stadium</t>
        </is>
      </c>
      <c r="F608" t="inlineStr"/>
      <c r="G608" t="inlineStr">
        <is>
          <t>Mississippi State|Texas</t>
        </is>
      </c>
    </row>
    <row r="609">
      <c r="A609" t="inlineStr">
        <is>
          <t>Sat Oct 31  TBD</t>
        </is>
      </c>
      <c r="B609" t="n">
        <v>9</v>
      </c>
      <c r="C609" t="inlineStr">
        <is>
          <t>Georgia Tech</t>
        </is>
      </c>
      <c r="D609" t="inlineStr">
        <is>
          <t>Pittsburgh</t>
        </is>
      </c>
      <c r="E609" t="inlineStr">
        <is>
          <t>Acrisure Stadium</t>
        </is>
      </c>
      <c r="F609" t="inlineStr"/>
      <c r="G609" t="inlineStr">
        <is>
          <t>Georgia Tech|Pittsburgh</t>
        </is>
      </c>
    </row>
    <row r="610">
      <c r="A610" t="inlineStr">
        <is>
          <t>Sat Oct 31  TBD</t>
        </is>
      </c>
      <c r="B610" t="n">
        <v>9</v>
      </c>
      <c r="C610" t="inlineStr">
        <is>
          <t>Michigan</t>
        </is>
      </c>
      <c r="D610" t="inlineStr">
        <is>
          <t>Rutgers</t>
        </is>
      </c>
      <c r="E610" t="inlineStr">
        <is>
          <t>SHI Stadium</t>
        </is>
      </c>
      <c r="F610" t="inlineStr"/>
      <c r="G610" t="inlineStr">
        <is>
          <t>Michigan|Rutgers</t>
        </is>
      </c>
    </row>
    <row r="611">
      <c r="A611" t="inlineStr">
        <is>
          <t>Sat Oct 31  TBD</t>
        </is>
      </c>
      <c r="B611" t="n">
        <v>9</v>
      </c>
      <c r="C611" t="inlineStr">
        <is>
          <t>New Mexico</t>
        </is>
      </c>
      <c r="D611" t="inlineStr">
        <is>
          <t>San Jose State</t>
        </is>
      </c>
      <c r="E611" t="inlineStr">
        <is>
          <t>CEFCU Stadium</t>
        </is>
      </c>
      <c r="F611" t="inlineStr"/>
      <c r="G611" t="inlineStr">
        <is>
          <t>New Mexico|San Jose State</t>
        </is>
      </c>
    </row>
    <row r="612">
      <c r="A612" t="inlineStr">
        <is>
          <t>Sat Oct 31  TBD</t>
        </is>
      </c>
      <c r="B612" t="n">
        <v>9</v>
      </c>
      <c r="C612" t="inlineStr">
        <is>
          <t>Purdue</t>
        </is>
      </c>
      <c r="D612" t="inlineStr">
        <is>
          <t>Penn State</t>
        </is>
      </c>
      <c r="E612" t="inlineStr">
        <is>
          <t>Beaver Stadium</t>
        </is>
      </c>
      <c r="F612" t="inlineStr"/>
      <c r="G612" t="inlineStr">
        <is>
          <t>Penn State|Purdue</t>
        </is>
      </c>
    </row>
    <row r="613">
      <c r="A613" t="inlineStr">
        <is>
          <t>Sat Oct 31  TBD</t>
        </is>
      </c>
      <c r="B613" t="n">
        <v>9</v>
      </c>
      <c r="C613" t="inlineStr">
        <is>
          <t>Louisiana Tech</t>
        </is>
      </c>
      <c r="D613" t="inlineStr">
        <is>
          <t>South Alabama</t>
        </is>
      </c>
      <c r="E613" t="inlineStr">
        <is>
          <t>Hancock Whitney Stadium</t>
        </is>
      </c>
      <c r="F613" t="inlineStr"/>
      <c r="G613" t="inlineStr">
        <is>
          <t>Louisiana Tech|South Alabama</t>
        </is>
      </c>
    </row>
    <row r="614">
      <c r="A614" t="inlineStr">
        <is>
          <t>Sat Oct 31  12:00 PM ET</t>
        </is>
      </c>
      <c r="B614" t="n">
        <v>9</v>
      </c>
      <c r="C614" t="inlineStr">
        <is>
          <t>Notre Dame</t>
        </is>
      </c>
      <c r="D614" t="inlineStr">
        <is>
          <t>Navy</t>
        </is>
      </c>
      <c r="E614" t="inlineStr">
        <is>
          <t>Neutral site</t>
        </is>
      </c>
      <c r="F614" t="inlineStr"/>
      <c r="G614" t="inlineStr">
        <is>
          <t>Navy|Notre Dame</t>
        </is>
      </c>
    </row>
    <row r="615">
      <c r="A615" t="inlineStr">
        <is>
          <t>Sat Oct 31  12:00 PM ET</t>
        </is>
      </c>
      <c r="B615" t="n">
        <v>9</v>
      </c>
      <c r="C615" t="inlineStr">
        <is>
          <t>Bowling Green</t>
        </is>
      </c>
      <c r="D615" t="inlineStr">
        <is>
          <t>Western Michigan</t>
        </is>
      </c>
      <c r="E615" t="inlineStr">
        <is>
          <t>Waldo Stadium</t>
        </is>
      </c>
      <c r="F615" t="inlineStr"/>
      <c r="G615" t="inlineStr">
        <is>
          <t>Bowling Green|Western Michigan</t>
        </is>
      </c>
    </row>
    <row r="616">
      <c r="A616" t="inlineStr">
        <is>
          <t>Sat Oct 31  3:00 PM ET</t>
        </is>
      </c>
      <c r="B616" t="n">
        <v>9</v>
      </c>
      <c r="C616" t="inlineStr">
        <is>
          <t>UConn</t>
        </is>
      </c>
      <c r="D616" t="inlineStr">
        <is>
          <t>Air Force</t>
        </is>
      </c>
      <c r="E616" t="inlineStr">
        <is>
          <t>Falcon Stadium</t>
        </is>
      </c>
      <c r="F616" t="inlineStr"/>
      <c r="G616" t="inlineStr">
        <is>
          <t>Air Force|UConn</t>
        </is>
      </c>
    </row>
    <row r="617">
      <c r="A617" t="inlineStr">
        <is>
          <t>Sat Oct 31  3:30 PM ET</t>
        </is>
      </c>
      <c r="B617" t="n">
        <v>9</v>
      </c>
      <c r="C617" t="inlineStr">
        <is>
          <t>Florida</t>
        </is>
      </c>
      <c r="D617" t="inlineStr">
        <is>
          <t>Georgia</t>
        </is>
      </c>
      <c r="E617" t="inlineStr">
        <is>
          <t>Neutral site</t>
        </is>
      </c>
      <c r="F617" t="inlineStr"/>
      <c r="G617" t="inlineStr">
        <is>
          <t>Florida|Georgia</t>
        </is>
      </c>
    </row>
    <row r="618">
      <c r="A618" t="inlineStr">
        <is>
          <t>Sat Oct 31  3:30 PM ET</t>
        </is>
      </c>
      <c r="B618" t="n">
        <v>9</v>
      </c>
      <c r="C618" t="inlineStr">
        <is>
          <t>Florida International</t>
        </is>
      </c>
      <c r="D618" t="inlineStr">
        <is>
          <t>Liberty</t>
        </is>
      </c>
      <c r="E618" t="inlineStr">
        <is>
          <t>Williams Stadium (VA)</t>
        </is>
      </c>
      <c r="F618" t="inlineStr"/>
      <c r="G618" t="inlineStr">
        <is>
          <t>Florida International|Liberty</t>
        </is>
      </c>
    </row>
    <row r="619">
      <c r="A619" t="inlineStr">
        <is>
          <t>Sat Oct 31  3:30 PM ET</t>
        </is>
      </c>
      <c r="B619" t="n">
        <v>9</v>
      </c>
      <c r="C619" t="inlineStr">
        <is>
          <t>Colorado State</t>
        </is>
      </c>
      <c r="D619" t="inlineStr">
        <is>
          <t>Utah State</t>
        </is>
      </c>
      <c r="E619" t="inlineStr">
        <is>
          <t>Maverik Stadium</t>
        </is>
      </c>
      <c r="F619" t="inlineStr"/>
      <c r="G619" t="inlineStr">
        <is>
          <t>Colorado State|Utah State</t>
        </is>
      </c>
    </row>
    <row r="620">
      <c r="A620" t="inlineStr">
        <is>
          <t>Sat Oct 31  3:30 PM ET</t>
        </is>
      </c>
      <c r="B620" t="n">
        <v>9</v>
      </c>
      <c r="C620" t="inlineStr">
        <is>
          <t>UTEP</t>
        </is>
      </c>
      <c r="D620" t="inlineStr">
        <is>
          <t>North Dakota State</t>
        </is>
      </c>
      <c r="E620" t="inlineStr">
        <is>
          <t>Fargodome</t>
        </is>
      </c>
      <c r="F620" t="inlineStr"/>
      <c r="G620" t="inlineStr">
        <is>
          <t>North Dakota State|UTEP</t>
        </is>
      </c>
    </row>
    <row r="621">
      <c r="A621" t="inlineStr">
        <is>
          <t>Sat Oct 31  7:00 PM ET</t>
        </is>
      </c>
      <c r="B621" t="n">
        <v>9</v>
      </c>
      <c r="C621" t="inlineStr">
        <is>
          <t>Washington State</t>
        </is>
      </c>
      <c r="D621" t="inlineStr">
        <is>
          <t>San Diego State</t>
        </is>
      </c>
      <c r="E621" t="inlineStr">
        <is>
          <t>Snapdragon Stadium</t>
        </is>
      </c>
      <c r="F621" t="inlineStr"/>
      <c r="G621" t="inlineStr">
        <is>
          <t>San Diego State|Washington State</t>
        </is>
      </c>
    </row>
    <row r="622">
      <c r="A622" t="inlineStr">
        <is>
          <t>Sat Oct 31  10:00 PM ET</t>
        </is>
      </c>
      <c r="B622" t="n">
        <v>9</v>
      </c>
      <c r="C622" t="inlineStr">
        <is>
          <t>Texas State</t>
        </is>
      </c>
      <c r="D622" t="inlineStr">
        <is>
          <t>Boise State</t>
        </is>
      </c>
      <c r="E622" t="inlineStr">
        <is>
          <t>Albertsons Stadium</t>
        </is>
      </c>
      <c r="F622" t="inlineStr"/>
      <c r="G622" t="inlineStr">
        <is>
          <t>Boise State|Texas State</t>
        </is>
      </c>
    </row>
    <row r="623">
      <c r="A623" t="inlineStr">
        <is>
          <t>Sat Oct 31  10:30 PM ET</t>
        </is>
      </c>
      <c r="B623" t="n">
        <v>9</v>
      </c>
      <c r="C623" t="inlineStr">
        <is>
          <t>Northern Illinois</t>
        </is>
      </c>
      <c r="D623" t="inlineStr">
        <is>
          <t>UNLV</t>
        </is>
      </c>
      <c r="E623" t="inlineStr">
        <is>
          <t>Allegiant Stadium</t>
        </is>
      </c>
      <c r="F623" t="inlineStr"/>
      <c r="G623" t="inlineStr">
        <is>
          <t>Northern Illinois|UNLV</t>
        </is>
      </c>
    </row>
    <row r="624">
      <c r="A624" t="inlineStr">
        <is>
          <t>Tue Nov 03  7:00 PM ET</t>
        </is>
      </c>
      <c r="B624" t="n">
        <v>10</v>
      </c>
      <c r="C624" t="inlineStr">
        <is>
          <t>Buffalo</t>
        </is>
      </c>
      <c r="D624" t="inlineStr">
        <is>
          <t>Miami (OH)</t>
        </is>
      </c>
      <c r="E624" t="inlineStr">
        <is>
          <t>Yager Stadium</t>
        </is>
      </c>
      <c r="F624" t="inlineStr"/>
      <c r="G624" t="inlineStr">
        <is>
          <t>Buffalo|Miami (OH)</t>
        </is>
      </c>
    </row>
    <row r="625">
      <c r="A625" t="inlineStr">
        <is>
          <t>Tue Nov 03  7:00 PM ET</t>
        </is>
      </c>
      <c r="B625" t="n">
        <v>10</v>
      </c>
      <c r="C625" t="inlineStr">
        <is>
          <t>Ohio</t>
        </is>
      </c>
      <c r="D625" t="inlineStr">
        <is>
          <t>Akron</t>
        </is>
      </c>
      <c r="E625" t="inlineStr">
        <is>
          <t>InfoCision Stadium</t>
        </is>
      </c>
      <c r="F625" t="inlineStr"/>
      <c r="G625" t="inlineStr">
        <is>
          <t>Akron|Ohio</t>
        </is>
      </c>
    </row>
    <row r="626">
      <c r="A626" t="inlineStr">
        <is>
          <t>Wed Nov 04  TBD</t>
        </is>
      </c>
      <c r="B626" t="n">
        <v>10</v>
      </c>
      <c r="C626" t="inlineStr">
        <is>
          <t>Toledo</t>
        </is>
      </c>
      <c r="D626" t="inlineStr">
        <is>
          <t>Sacramento State</t>
        </is>
      </c>
      <c r="E626" t="inlineStr">
        <is>
          <t>Hornet Stadium</t>
        </is>
      </c>
      <c r="F626" t="inlineStr"/>
      <c r="G626" t="inlineStr">
        <is>
          <t>Sacramento State|Toledo</t>
        </is>
      </c>
    </row>
    <row r="627">
      <c r="A627" t="inlineStr">
        <is>
          <t>Wed Nov 04  TBD</t>
        </is>
      </c>
      <c r="B627" t="n">
        <v>10</v>
      </c>
      <c r="C627" t="inlineStr">
        <is>
          <t>Central Michigan</t>
        </is>
      </c>
      <c r="D627" t="inlineStr">
        <is>
          <t>Eastern Michigan</t>
        </is>
      </c>
      <c r="E627" t="inlineStr">
        <is>
          <t>Neutral site</t>
        </is>
      </c>
      <c r="F627" t="inlineStr"/>
      <c r="G627" t="inlineStr">
        <is>
          <t>Central Michigan|Eastern Michigan</t>
        </is>
      </c>
    </row>
    <row r="628">
      <c r="A628" t="inlineStr">
        <is>
          <t>Wed Nov 04  TBD</t>
        </is>
      </c>
      <c r="B628" t="n">
        <v>10</v>
      </c>
      <c r="C628" t="inlineStr">
        <is>
          <t>Ball State</t>
        </is>
      </c>
      <c r="D628" t="inlineStr">
        <is>
          <t>UMass</t>
        </is>
      </c>
      <c r="E628" t="inlineStr">
        <is>
          <t>Warren McGuirk Alumni Stadium</t>
        </is>
      </c>
      <c r="F628" t="inlineStr"/>
      <c r="G628" t="inlineStr">
        <is>
          <t>Ball State|UMass</t>
        </is>
      </c>
    </row>
    <row r="629">
      <c r="A629" t="inlineStr">
        <is>
          <t>Thu Nov 05  8:00 PM ET</t>
        </is>
      </c>
      <c r="B629" t="n">
        <v>10</v>
      </c>
      <c r="C629" t="inlineStr">
        <is>
          <t>James Madison</t>
        </is>
      </c>
      <c r="D629" t="inlineStr">
        <is>
          <t>Southern Miss</t>
        </is>
      </c>
      <c r="E629" t="inlineStr">
        <is>
          <t>M. M. Roberts Stadium</t>
        </is>
      </c>
      <c r="F629" t="inlineStr"/>
      <c r="G629" t="inlineStr">
        <is>
          <t>James Madison|Southern Miss</t>
        </is>
      </c>
    </row>
    <row r="630">
      <c r="A630" t="inlineStr">
        <is>
          <t>Thu Nov 05  8:00 PM ET</t>
        </is>
      </c>
      <c r="B630" t="n">
        <v>10</v>
      </c>
      <c r="C630" t="inlineStr">
        <is>
          <t>UTSA</t>
        </is>
      </c>
      <c r="D630" t="inlineStr">
        <is>
          <t>Florida Atlantic</t>
        </is>
      </c>
      <c r="E630" t="inlineStr">
        <is>
          <t>FAU Stadium</t>
        </is>
      </c>
      <c r="F630" t="inlineStr"/>
      <c r="G630" t="inlineStr">
        <is>
          <t>Florida Atlantic|UTSA</t>
        </is>
      </c>
    </row>
    <row r="631">
      <c r="A631" t="inlineStr">
        <is>
          <t>Fri Nov 06  7:00 PM ET</t>
        </is>
      </c>
      <c r="B631" t="n">
        <v>10</v>
      </c>
      <c r="C631" t="inlineStr">
        <is>
          <t>Virginia Tech</t>
        </is>
      </c>
      <c r="D631" t="inlineStr">
        <is>
          <t>SMU</t>
        </is>
      </c>
      <c r="E631" t="inlineStr">
        <is>
          <t>Gerald J. Ford Stadium</t>
        </is>
      </c>
      <c r="F631" t="inlineStr"/>
      <c r="G631" t="inlineStr">
        <is>
          <t>SMU|Virginia Tech</t>
        </is>
      </c>
    </row>
    <row r="632">
      <c r="A632" t="inlineStr">
        <is>
          <t>Fri Nov 06  7:30 PM ET</t>
        </is>
      </c>
      <c r="B632" t="n">
        <v>10</v>
      </c>
      <c r="C632" t="inlineStr">
        <is>
          <t>South Florida</t>
        </is>
      </c>
      <c r="D632" t="inlineStr">
        <is>
          <t>East Carolina</t>
        </is>
      </c>
      <c r="E632" t="inlineStr">
        <is>
          <t>Dowdy-Ficklen Stadium</t>
        </is>
      </c>
      <c r="F632" t="inlineStr"/>
      <c r="G632" t="inlineStr">
        <is>
          <t>East Carolina|South Florida</t>
        </is>
      </c>
    </row>
    <row r="633">
      <c r="A633" t="inlineStr">
        <is>
          <t>Fri Nov 06  8:00 PM ET</t>
        </is>
      </c>
      <c r="B633" t="n">
        <v>10</v>
      </c>
      <c r="C633" t="inlineStr">
        <is>
          <t>Nebraska</t>
        </is>
      </c>
      <c r="D633" t="inlineStr">
        <is>
          <t>Illinois</t>
        </is>
      </c>
      <c r="E633" t="inlineStr">
        <is>
          <t>Memorial Stadium (Champaign, IL)</t>
        </is>
      </c>
      <c r="F633" t="inlineStr"/>
      <c r="G633" t="inlineStr">
        <is>
          <t>Illinois|Nebraska</t>
        </is>
      </c>
    </row>
    <row r="634">
      <c r="A634" t="inlineStr">
        <is>
          <t>Fri Nov 06  9:00 PM ET</t>
        </is>
      </c>
      <c r="B634" t="n">
        <v>10</v>
      </c>
      <c r="C634" t="inlineStr">
        <is>
          <t>New Mexico</t>
        </is>
      </c>
      <c r="D634" t="inlineStr">
        <is>
          <t>Nevada</t>
        </is>
      </c>
      <c r="E634" t="inlineStr">
        <is>
          <t>Mackay Stadium</t>
        </is>
      </c>
      <c r="F634" t="inlineStr"/>
      <c r="G634" t="inlineStr">
        <is>
          <t>Nevada|New Mexico</t>
        </is>
      </c>
    </row>
    <row r="635">
      <c r="A635" t="inlineStr">
        <is>
          <t>Fri Nov 06  10:15 PM ET</t>
        </is>
      </c>
      <c r="B635" t="n">
        <v>10</v>
      </c>
      <c r="C635" t="inlineStr">
        <is>
          <t>TCU</t>
        </is>
      </c>
      <c r="D635" t="inlineStr">
        <is>
          <t>Arizona</t>
        </is>
      </c>
      <c r="E635" t="inlineStr">
        <is>
          <t>Arizona Stadium</t>
        </is>
      </c>
      <c r="F635" t="inlineStr"/>
      <c r="G635" t="inlineStr">
        <is>
          <t>Arizona|TCU</t>
        </is>
      </c>
    </row>
    <row r="636">
      <c r="A636" t="inlineStr">
        <is>
          <t>Sat Nov 07  TBD</t>
        </is>
      </c>
      <c r="B636" t="n">
        <v>10</v>
      </c>
      <c r="C636" t="inlineStr">
        <is>
          <t>Penn State</t>
        </is>
      </c>
      <c r="D636" t="inlineStr">
        <is>
          <t>Washington</t>
        </is>
      </c>
      <c r="E636" t="inlineStr">
        <is>
          <t>Husky Stadium</t>
        </is>
      </c>
      <c r="F636" t="inlineStr"/>
      <c r="G636" t="inlineStr">
        <is>
          <t>Penn State|Washington</t>
        </is>
      </c>
    </row>
    <row r="637">
      <c r="A637" t="inlineStr">
        <is>
          <t>Sat Nov 07  TBD</t>
        </is>
      </c>
      <c r="B637" t="n">
        <v>10</v>
      </c>
      <c r="C637" t="inlineStr">
        <is>
          <t>Old Dominion</t>
        </is>
      </c>
      <c r="D637" t="inlineStr">
        <is>
          <t>Coastal Carolina</t>
        </is>
      </c>
      <c r="E637" t="inlineStr">
        <is>
          <t>Brooks Stadium (SC)</t>
        </is>
      </c>
      <c r="F637" t="inlineStr"/>
      <c r="G637" t="inlineStr">
        <is>
          <t>Coastal Carolina|Old Dominion</t>
        </is>
      </c>
    </row>
    <row r="638">
      <c r="A638" t="inlineStr">
        <is>
          <t>Sat Nov 07  TBD</t>
        </is>
      </c>
      <c r="B638" t="n">
        <v>10</v>
      </c>
      <c r="C638" t="inlineStr">
        <is>
          <t>Kentucky</t>
        </is>
      </c>
      <c r="D638" t="inlineStr">
        <is>
          <t>Tennessee</t>
        </is>
      </c>
      <c r="E638" t="inlineStr">
        <is>
          <t>Neyland Stadium</t>
        </is>
      </c>
      <c r="F638" t="inlineStr"/>
      <c r="G638" t="inlineStr">
        <is>
          <t>Kentucky|Tennessee</t>
        </is>
      </c>
    </row>
    <row r="639">
      <c r="A639" t="inlineStr">
        <is>
          <t>Sat Nov 07  TBD</t>
        </is>
      </c>
      <c r="B639" t="n">
        <v>10</v>
      </c>
      <c r="C639" t="inlineStr">
        <is>
          <t>Colorado</t>
        </is>
      </c>
      <c r="D639" t="inlineStr">
        <is>
          <t>Arizona State</t>
        </is>
      </c>
      <c r="E639" t="inlineStr">
        <is>
          <t>Mountain America Stadium</t>
        </is>
      </c>
      <c r="F639" t="inlineStr"/>
      <c r="G639" t="inlineStr">
        <is>
          <t>Arizona State|Colorado</t>
        </is>
      </c>
    </row>
    <row r="640">
      <c r="A640" t="inlineStr">
        <is>
          <t>Sat Nov 07  TBD</t>
        </is>
      </c>
      <c r="B640" t="n">
        <v>10</v>
      </c>
      <c r="C640" t="inlineStr">
        <is>
          <t>Louisiana Tech</t>
        </is>
      </c>
      <c r="D640" t="inlineStr">
        <is>
          <t>Troy</t>
        </is>
      </c>
      <c r="E640" t="inlineStr">
        <is>
          <t>Veterans Memorial Stadium (AL)</t>
        </is>
      </c>
      <c r="F640" t="inlineStr"/>
      <c r="G640" t="inlineStr">
        <is>
          <t>Louisiana Tech|Troy</t>
        </is>
      </c>
    </row>
    <row r="641">
      <c r="A641" t="inlineStr">
        <is>
          <t>Sat Nov 07  TBD</t>
        </is>
      </c>
      <c r="B641" t="n">
        <v>10</v>
      </c>
      <c r="C641" t="inlineStr">
        <is>
          <t>Oklahoma</t>
        </is>
      </c>
      <c r="D641" t="inlineStr">
        <is>
          <t>Florida</t>
        </is>
      </c>
      <c r="E641" t="inlineStr">
        <is>
          <t>Ben Hill Griffin Stadium</t>
        </is>
      </c>
      <c r="F641" t="inlineStr"/>
      <c r="G641" t="inlineStr">
        <is>
          <t>Florida|Oklahoma</t>
        </is>
      </c>
    </row>
    <row r="642">
      <c r="A642" t="inlineStr">
        <is>
          <t>Sat Nov 07  TBD</t>
        </is>
      </c>
      <c r="B642" t="n">
        <v>10</v>
      </c>
      <c r="C642" t="inlineStr">
        <is>
          <t>Michigan State</t>
        </is>
      </c>
      <c r="D642" t="inlineStr">
        <is>
          <t>Michigan</t>
        </is>
      </c>
      <c r="E642" t="inlineStr">
        <is>
          <t>Michigan Stadium</t>
        </is>
      </c>
      <c r="F642" t="inlineStr"/>
      <c r="G642" t="inlineStr">
        <is>
          <t>Michigan|Michigan State</t>
        </is>
      </c>
    </row>
    <row r="643">
      <c r="A643" t="inlineStr">
        <is>
          <t>Sat Nov 07  TBD</t>
        </is>
      </c>
      <c r="B643" t="n">
        <v>10</v>
      </c>
      <c r="C643" t="inlineStr">
        <is>
          <t>Duke</t>
        </is>
      </c>
      <c r="D643" t="inlineStr">
        <is>
          <t>NC State</t>
        </is>
      </c>
      <c r="E643" t="inlineStr">
        <is>
          <t>Carter-Finley Stadium</t>
        </is>
      </c>
      <c r="F643" t="inlineStr"/>
      <c r="G643" t="inlineStr">
        <is>
          <t>Duke|NC State</t>
        </is>
      </c>
    </row>
    <row r="644">
      <c r="A644" t="inlineStr">
        <is>
          <t>Sat Nov 07  TBD</t>
        </is>
      </c>
      <c r="B644" t="n">
        <v>10</v>
      </c>
      <c r="C644" t="inlineStr">
        <is>
          <t>Texas</t>
        </is>
      </c>
      <c r="D644" t="inlineStr">
        <is>
          <t>Missouri</t>
        </is>
      </c>
      <c r="E644" t="inlineStr">
        <is>
          <t>Memorial Stadium</t>
        </is>
      </c>
      <c r="F644" t="inlineStr"/>
      <c r="G644" t="inlineStr">
        <is>
          <t>Missouri|Texas</t>
        </is>
      </c>
    </row>
    <row r="645">
      <c r="A645" t="inlineStr">
        <is>
          <t>Sat Nov 07  TBD</t>
        </is>
      </c>
      <c r="B645" t="n">
        <v>10</v>
      </c>
      <c r="C645" t="inlineStr">
        <is>
          <t>Northern Illinois</t>
        </is>
      </c>
      <c r="D645" t="inlineStr">
        <is>
          <t>San Jose State</t>
        </is>
      </c>
      <c r="E645" t="inlineStr">
        <is>
          <t>CEFCU Stadium</t>
        </is>
      </c>
      <c r="F645" t="inlineStr"/>
      <c r="G645" t="inlineStr">
        <is>
          <t>Northern Illinois|San Jose State</t>
        </is>
      </c>
    </row>
    <row r="646">
      <c r="A646" t="inlineStr">
        <is>
          <t>Sat Nov 07  TBD</t>
        </is>
      </c>
      <c r="B646" t="n">
        <v>10</v>
      </c>
      <c r="C646" t="inlineStr">
        <is>
          <t>Hawaii</t>
        </is>
      </c>
      <c r="D646" t="inlineStr">
        <is>
          <t>UTEP</t>
        </is>
      </c>
      <c r="E646" t="inlineStr">
        <is>
          <t>Sun Bowl</t>
        </is>
      </c>
      <c r="F646" t="inlineStr"/>
      <c r="G646" t="inlineStr">
        <is>
          <t>Hawaii|UTEP</t>
        </is>
      </c>
    </row>
    <row r="647">
      <c r="A647" t="inlineStr">
        <is>
          <t>Sat Nov 07  TBD</t>
        </is>
      </c>
      <c r="B647" t="n">
        <v>10</v>
      </c>
      <c r="C647" t="inlineStr">
        <is>
          <t>Florida State</t>
        </is>
      </c>
      <c r="D647" t="inlineStr">
        <is>
          <t>Boston College</t>
        </is>
      </c>
      <c r="E647" t="inlineStr">
        <is>
          <t>Alumni Stadium (Chestnut Hill, MA)</t>
        </is>
      </c>
      <c r="F647" t="inlineStr"/>
      <c r="G647" t="inlineStr">
        <is>
          <t>Boston College|Florida State</t>
        </is>
      </c>
    </row>
    <row r="648">
      <c r="A648" t="inlineStr">
        <is>
          <t>Sat Nov 07  TBD</t>
        </is>
      </c>
      <c r="B648" t="n">
        <v>10</v>
      </c>
      <c r="C648" t="inlineStr">
        <is>
          <t>South Alabama</t>
        </is>
      </c>
      <c r="D648" t="inlineStr">
        <is>
          <t>Louisiana</t>
        </is>
      </c>
      <c r="E648" t="inlineStr">
        <is>
          <t>Cajun Field</t>
        </is>
      </c>
      <c r="F648" t="inlineStr"/>
      <c r="G648" t="inlineStr">
        <is>
          <t>Louisiana|South Alabama</t>
        </is>
      </c>
    </row>
    <row r="649">
      <c r="A649" t="inlineStr">
        <is>
          <t>Sat Nov 07  TBD</t>
        </is>
      </c>
      <c r="B649" t="n">
        <v>10</v>
      </c>
      <c r="C649" t="inlineStr">
        <is>
          <t>Rice</t>
        </is>
      </c>
      <c r="D649" t="inlineStr">
        <is>
          <t>North Texas</t>
        </is>
      </c>
      <c r="E649" t="inlineStr">
        <is>
          <t>DATCU Stadium</t>
        </is>
      </c>
      <c r="F649" t="inlineStr"/>
      <c r="G649" t="inlineStr">
        <is>
          <t>North Texas|Rice</t>
        </is>
      </c>
    </row>
    <row r="650">
      <c r="A650" t="inlineStr">
        <is>
          <t>Sat Nov 07  TBD</t>
        </is>
      </c>
      <c r="B650" t="n">
        <v>10</v>
      </c>
      <c r="C650" t="inlineStr">
        <is>
          <t>Rutgers</t>
        </is>
      </c>
      <c r="D650" t="inlineStr">
        <is>
          <t>Wisconsin</t>
        </is>
      </c>
      <c r="E650" t="inlineStr">
        <is>
          <t>Camp Randall Stadium</t>
        </is>
      </c>
      <c r="F650" t="inlineStr"/>
      <c r="G650" t="inlineStr">
        <is>
          <t>Rutgers|Wisconsin</t>
        </is>
      </c>
    </row>
    <row r="651">
      <c r="A651" t="inlineStr">
        <is>
          <t>Sat Nov 07  TBD</t>
        </is>
      </c>
      <c r="B651" t="n">
        <v>10</v>
      </c>
      <c r="C651" t="inlineStr">
        <is>
          <t>UCLA</t>
        </is>
      </c>
      <c r="D651" t="inlineStr">
        <is>
          <t>Minnesota</t>
        </is>
      </c>
      <c r="E651" t="inlineStr">
        <is>
          <t>Huntington Bank Stadium</t>
        </is>
      </c>
      <c r="F651" t="inlineStr"/>
      <c r="G651" t="inlineStr">
        <is>
          <t>Minnesota|UCLA</t>
        </is>
      </c>
    </row>
    <row r="652">
      <c r="A652" t="inlineStr">
        <is>
          <t>Sat Nov 07  TBD</t>
        </is>
      </c>
      <c r="B652" t="n">
        <v>10</v>
      </c>
      <c r="C652" t="inlineStr">
        <is>
          <t>Arkansas</t>
        </is>
      </c>
      <c r="D652" t="inlineStr">
        <is>
          <t>Auburn</t>
        </is>
      </c>
      <c r="E652" t="inlineStr">
        <is>
          <t>Jordan-Hare Stadium</t>
        </is>
      </c>
      <c r="F652" t="inlineStr"/>
      <c r="G652" t="inlineStr">
        <is>
          <t>Arkansas|Auburn</t>
        </is>
      </c>
    </row>
    <row r="653">
      <c r="A653" t="inlineStr">
        <is>
          <t>Sat Nov 07  TBD</t>
        </is>
      </c>
      <c r="B653" t="n">
        <v>10</v>
      </c>
      <c r="C653" t="inlineStr">
        <is>
          <t>Maryland</t>
        </is>
      </c>
      <c r="D653" t="inlineStr">
        <is>
          <t>Purdue</t>
        </is>
      </c>
      <c r="E653" t="inlineStr">
        <is>
          <t>Ross-Ade Stadium</t>
        </is>
      </c>
      <c r="F653" t="inlineStr"/>
      <c r="G653" t="inlineStr">
        <is>
          <t>Maryland|Purdue</t>
        </is>
      </c>
    </row>
    <row r="654">
      <c r="A654" t="inlineStr">
        <is>
          <t>Sat Nov 07  TBD</t>
        </is>
      </c>
      <c r="B654" t="n">
        <v>10</v>
      </c>
      <c r="C654" t="inlineStr">
        <is>
          <t>Marshall</t>
        </is>
      </c>
      <c r="D654" t="inlineStr">
        <is>
          <t>Georgia Southern</t>
        </is>
      </c>
      <c r="E654" t="inlineStr">
        <is>
          <t>Allen E. Paulson Stadium</t>
        </is>
      </c>
      <c r="F654" t="inlineStr"/>
      <c r="G654" t="inlineStr">
        <is>
          <t>Georgia Southern|Marshall</t>
        </is>
      </c>
    </row>
    <row r="655">
      <c r="A655" t="inlineStr">
        <is>
          <t>Sat Nov 07  TBD</t>
        </is>
      </c>
      <c r="B655" t="n">
        <v>10</v>
      </c>
      <c r="C655" t="inlineStr">
        <is>
          <t>Tulsa</t>
        </is>
      </c>
      <c r="D655" t="inlineStr">
        <is>
          <t>Tulane</t>
        </is>
      </c>
      <c r="E655" t="inlineStr">
        <is>
          <t>Yulman Stadium</t>
        </is>
      </c>
      <c r="F655" t="inlineStr"/>
      <c r="G655" t="inlineStr">
        <is>
          <t>Tulane|Tulsa</t>
        </is>
      </c>
    </row>
    <row r="656">
      <c r="A656" t="inlineStr">
        <is>
          <t>Sat Nov 07  TBD</t>
        </is>
      </c>
      <c r="B656" t="n">
        <v>10</v>
      </c>
      <c r="C656" t="inlineStr">
        <is>
          <t>Merrimack</t>
        </is>
      </c>
      <c r="D656" t="inlineStr">
        <is>
          <t>Wake Forest</t>
        </is>
      </c>
      <c r="E656" t="inlineStr">
        <is>
          <t>Allegacy Federal Credit Union Stadium</t>
        </is>
      </c>
      <c r="F656" t="inlineStr"/>
      <c r="G656" t="inlineStr">
        <is>
          <t>Merrimack|Wake Forest</t>
        </is>
      </c>
    </row>
    <row r="657">
      <c r="A657" t="inlineStr">
        <is>
          <t>Sat Nov 07  TBD</t>
        </is>
      </c>
      <c r="B657" t="n">
        <v>10</v>
      </c>
      <c r="C657" t="inlineStr">
        <is>
          <t>Louisville</t>
        </is>
      </c>
      <c r="D657" t="inlineStr">
        <is>
          <t>Georgia Tech</t>
        </is>
      </c>
      <c r="E657" t="inlineStr">
        <is>
          <t>Bobby Dodd Stadium</t>
        </is>
      </c>
      <c r="F657" t="inlineStr"/>
      <c r="G657" t="inlineStr">
        <is>
          <t>Georgia Tech|Louisville</t>
        </is>
      </c>
    </row>
    <row r="658">
      <c r="A658" t="inlineStr">
        <is>
          <t>Sat Nov 07  TBD</t>
        </is>
      </c>
      <c r="B658" t="n">
        <v>10</v>
      </c>
      <c r="C658" t="inlineStr">
        <is>
          <t>Clemson</t>
        </is>
      </c>
      <c r="D658" t="inlineStr">
        <is>
          <t>Syracuse</t>
        </is>
      </c>
      <c r="E658" t="inlineStr">
        <is>
          <t>JMA Wireless Dome</t>
        </is>
      </c>
      <c r="F658" t="inlineStr"/>
      <c r="G658" t="inlineStr">
        <is>
          <t>Clemson|Syracuse</t>
        </is>
      </c>
    </row>
    <row r="659">
      <c r="A659" t="inlineStr">
        <is>
          <t>Sat Nov 07  TBD</t>
        </is>
      </c>
      <c r="B659" t="n">
        <v>10</v>
      </c>
      <c r="C659" t="inlineStr">
        <is>
          <t>Vanderbilt</t>
        </is>
      </c>
      <c r="D659" t="inlineStr">
        <is>
          <t>Mississippi State</t>
        </is>
      </c>
      <c r="E659" t="inlineStr">
        <is>
          <t>Davis Wade Stadium</t>
        </is>
      </c>
      <c r="F659" t="inlineStr"/>
      <c r="G659" t="inlineStr">
        <is>
          <t>Mississippi State|Vanderbilt</t>
        </is>
      </c>
    </row>
    <row r="660">
      <c r="A660" t="inlineStr">
        <is>
          <t>Sat Nov 07  TBD</t>
        </is>
      </c>
      <c r="B660" t="n">
        <v>10</v>
      </c>
      <c r="C660" t="inlineStr">
        <is>
          <t>Georgia</t>
        </is>
      </c>
      <c r="D660" t="inlineStr">
        <is>
          <t>Ole Miss</t>
        </is>
      </c>
      <c r="E660" t="inlineStr">
        <is>
          <t>Vaught-Hemingway Stadium</t>
        </is>
      </c>
      <c r="F660" t="inlineStr"/>
      <c r="G660" t="inlineStr">
        <is>
          <t>Georgia|Ole Miss</t>
        </is>
      </c>
    </row>
    <row r="661">
      <c r="A661" t="inlineStr">
        <is>
          <t>Sat Nov 07  TBD</t>
        </is>
      </c>
      <c r="B661" t="n">
        <v>10</v>
      </c>
      <c r="C661" t="inlineStr">
        <is>
          <t>Iowa</t>
        </is>
      </c>
      <c r="D661" t="inlineStr">
        <is>
          <t>Northwestern</t>
        </is>
      </c>
      <c r="E661" t="inlineStr">
        <is>
          <t>Ryan Field</t>
        </is>
      </c>
      <c r="F661" t="inlineStr"/>
      <c r="G661" t="inlineStr">
        <is>
          <t>Iowa|Northwestern</t>
        </is>
      </c>
    </row>
    <row r="662">
      <c r="A662" t="inlineStr">
        <is>
          <t>Sat Nov 07  TBD</t>
        </is>
      </c>
      <c r="B662" t="n">
        <v>10</v>
      </c>
      <c r="C662" t="inlineStr">
        <is>
          <t>Oregon</t>
        </is>
      </c>
      <c r="D662" t="inlineStr">
        <is>
          <t>Ohio State</t>
        </is>
      </c>
      <c r="E662" t="inlineStr">
        <is>
          <t>Ohio Stadium</t>
        </is>
      </c>
      <c r="F662" t="inlineStr"/>
      <c r="G662" t="inlineStr">
        <is>
          <t>Ohio State|Oregon</t>
        </is>
      </c>
    </row>
    <row r="663">
      <c r="A663" t="inlineStr">
        <is>
          <t>Sat Nov 07  TBD</t>
        </is>
      </c>
      <c r="B663" t="n">
        <v>10</v>
      </c>
      <c r="C663" t="inlineStr">
        <is>
          <t>Charlotte</t>
        </is>
      </c>
      <c r="D663" t="inlineStr">
        <is>
          <t>UAB</t>
        </is>
      </c>
      <c r="E663" t="inlineStr">
        <is>
          <t>Protective Stadium</t>
        </is>
      </c>
      <c r="F663" t="inlineStr"/>
      <c r="G663" t="inlineStr">
        <is>
          <t>Charlotte|UAB</t>
        </is>
      </c>
    </row>
    <row r="664">
      <c r="A664" t="inlineStr">
        <is>
          <t>Sat Nov 07  TBD</t>
        </is>
      </c>
      <c r="B664" t="n">
        <v>10</v>
      </c>
      <c r="C664" t="inlineStr">
        <is>
          <t>West Virginia</t>
        </is>
      </c>
      <c r="D664" t="inlineStr">
        <is>
          <t>Texas Tech</t>
        </is>
      </c>
      <c r="E664" t="inlineStr">
        <is>
          <t>Jones AT&amp;T Stadium</t>
        </is>
      </c>
      <c r="F664" t="inlineStr"/>
      <c r="G664" t="inlineStr">
        <is>
          <t>Texas Tech|West Virginia</t>
        </is>
      </c>
    </row>
    <row r="665">
      <c r="A665" t="inlineStr">
        <is>
          <t>Sat Nov 07  TBD</t>
        </is>
      </c>
      <c r="B665" t="n">
        <v>10</v>
      </c>
      <c r="C665" t="inlineStr">
        <is>
          <t>Oklahoma State</t>
        </is>
      </c>
      <c r="D665" t="inlineStr">
        <is>
          <t>Kansas State</t>
        </is>
      </c>
      <c r="E665" t="inlineStr">
        <is>
          <t>Bill Snyder Family Stadium</t>
        </is>
      </c>
      <c r="F665" t="inlineStr"/>
      <c r="G665" t="inlineStr">
        <is>
          <t>Kansas State|Oklahoma State</t>
        </is>
      </c>
    </row>
    <row r="666">
      <c r="A666" t="inlineStr">
        <is>
          <t>Sat Nov 07  TBD</t>
        </is>
      </c>
      <c r="B666" t="n">
        <v>10</v>
      </c>
      <c r="C666" t="inlineStr">
        <is>
          <t>Iowa State</t>
        </is>
      </c>
      <c r="D666" t="inlineStr">
        <is>
          <t>Baylor</t>
        </is>
      </c>
      <c r="E666" t="inlineStr">
        <is>
          <t>McLane Stadium</t>
        </is>
      </c>
      <c r="F666" t="inlineStr"/>
      <c r="G666" t="inlineStr">
        <is>
          <t>Baylor|Iowa State</t>
        </is>
      </c>
    </row>
    <row r="667">
      <c r="A667" t="inlineStr">
        <is>
          <t>Sat Nov 07  TBD</t>
        </is>
      </c>
      <c r="B667" t="n">
        <v>10</v>
      </c>
      <c r="C667" t="inlineStr">
        <is>
          <t>Cincinnati</t>
        </is>
      </c>
      <c r="D667" t="inlineStr">
        <is>
          <t>Houston</t>
        </is>
      </c>
      <c r="E667" t="inlineStr">
        <is>
          <t>TDECU Stadium</t>
        </is>
      </c>
      <c r="F667" t="inlineStr"/>
      <c r="G667" t="inlineStr">
        <is>
          <t>Cincinnati|Houston</t>
        </is>
      </c>
    </row>
    <row r="668">
      <c r="A668" t="inlineStr">
        <is>
          <t>Sat Nov 07  TBD</t>
        </is>
      </c>
      <c r="B668" t="n">
        <v>10</v>
      </c>
      <c r="C668" t="inlineStr">
        <is>
          <t>Alabama</t>
        </is>
      </c>
      <c r="D668" t="inlineStr">
        <is>
          <t>LSU</t>
        </is>
      </c>
      <c r="E668" t="inlineStr">
        <is>
          <t>Tiger Stadium (LA)</t>
        </is>
      </c>
      <c r="F668" t="inlineStr"/>
      <c r="G668" t="inlineStr">
        <is>
          <t>Alabama|LSU</t>
        </is>
      </c>
    </row>
    <row r="669">
      <c r="A669" t="inlineStr">
        <is>
          <t>Sat Nov 07  TBD</t>
        </is>
      </c>
      <c r="B669" t="n">
        <v>10</v>
      </c>
      <c r="C669" t="inlineStr">
        <is>
          <t>Georgia State</t>
        </is>
      </c>
      <c r="D669" t="inlineStr">
        <is>
          <t>Appalachian State</t>
        </is>
      </c>
      <c r="E669" t="inlineStr">
        <is>
          <t>Kidd Brewer Stadium</t>
        </is>
      </c>
      <c r="F669" t="inlineStr"/>
      <c r="G669" t="inlineStr">
        <is>
          <t>Appalachian State|Georgia State</t>
        </is>
      </c>
    </row>
    <row r="670">
      <c r="A670" t="inlineStr">
        <is>
          <t>Sat Nov 07  TBD</t>
        </is>
      </c>
      <c r="B670" t="n">
        <v>10</v>
      </c>
      <c r="C670" t="inlineStr">
        <is>
          <t>UCF</t>
        </is>
      </c>
      <c r="D670" t="inlineStr">
        <is>
          <t>Kansas</t>
        </is>
      </c>
      <c r="E670" t="inlineStr">
        <is>
          <t>Memorial Stadium</t>
        </is>
      </c>
      <c r="F670" t="inlineStr"/>
      <c r="G670" t="inlineStr">
        <is>
          <t>Kansas|UCF</t>
        </is>
      </c>
    </row>
    <row r="671">
      <c r="A671" t="inlineStr">
        <is>
          <t>Sat Nov 07  TBD</t>
        </is>
      </c>
      <c r="B671" t="n">
        <v>10</v>
      </c>
      <c r="C671" t="inlineStr">
        <is>
          <t>BYU</t>
        </is>
      </c>
      <c r="D671" t="inlineStr">
        <is>
          <t>Utah</t>
        </is>
      </c>
      <c r="E671" t="inlineStr">
        <is>
          <t>Rice-Eccles Stadium</t>
        </is>
      </c>
      <c r="F671" t="inlineStr"/>
      <c r="G671" t="inlineStr">
        <is>
          <t>BYU|Utah</t>
        </is>
      </c>
    </row>
    <row r="672">
      <c r="A672" t="inlineStr">
        <is>
          <t>Sat Nov 07  TBD</t>
        </is>
      </c>
      <c r="B672" t="n">
        <v>10</v>
      </c>
      <c r="C672" t="inlineStr">
        <is>
          <t>Texas A&amp;M</t>
        </is>
      </c>
      <c r="D672" t="inlineStr">
        <is>
          <t>South Carolina</t>
        </is>
      </c>
      <c r="E672" t="inlineStr">
        <is>
          <t>Williams-Brice Stadium</t>
        </is>
      </c>
      <c r="F672" t="inlineStr"/>
      <c r="G672" t="inlineStr">
        <is>
          <t>South Carolina|Texas A&amp;M</t>
        </is>
      </c>
    </row>
    <row r="673">
      <c r="A673" t="inlineStr">
        <is>
          <t>Sat Nov 07  12:00 PM ET</t>
        </is>
      </c>
      <c r="B673" t="n">
        <v>10</v>
      </c>
      <c r="C673" t="inlineStr">
        <is>
          <t>North Carolina</t>
        </is>
      </c>
      <c r="D673" t="inlineStr">
        <is>
          <t>UConn</t>
        </is>
      </c>
      <c r="E673" t="inlineStr">
        <is>
          <t>Pratt &amp; Whitney Stadium</t>
        </is>
      </c>
      <c r="F673" t="inlineStr"/>
      <c r="G673" t="inlineStr">
        <is>
          <t>North Carolina|UConn</t>
        </is>
      </c>
    </row>
    <row r="674">
      <c r="A674" t="inlineStr">
        <is>
          <t>Sat Nov 07  3:00 PM ET</t>
        </is>
      </c>
      <c r="B674" t="n">
        <v>10</v>
      </c>
      <c r="C674" t="inlineStr">
        <is>
          <t>Delaware</t>
        </is>
      </c>
      <c r="D674" t="inlineStr">
        <is>
          <t>Kennesaw State</t>
        </is>
      </c>
      <c r="E674" t="inlineStr">
        <is>
          <t>Fifth Third Stadium</t>
        </is>
      </c>
      <c r="F674" t="inlineStr"/>
      <c r="G674" t="inlineStr">
        <is>
          <t>Delaware|Kennesaw State</t>
        </is>
      </c>
    </row>
    <row r="675">
      <c r="A675" t="inlineStr">
        <is>
          <t>Sat Nov 07  3:00 PM ET</t>
        </is>
      </c>
      <c r="B675" t="n">
        <v>10</v>
      </c>
      <c r="C675" t="inlineStr">
        <is>
          <t>Louisiana-Monroe</t>
        </is>
      </c>
      <c r="D675" t="inlineStr">
        <is>
          <t>Arkansas State</t>
        </is>
      </c>
      <c r="E675" t="inlineStr">
        <is>
          <t>Centennial Bank Stadium</t>
        </is>
      </c>
      <c r="F675" t="inlineStr"/>
      <c r="G675" t="inlineStr">
        <is>
          <t>Arkansas State|Louisiana-Monroe</t>
        </is>
      </c>
    </row>
    <row r="676">
      <c r="A676" t="inlineStr">
        <is>
          <t>Sat Nov 07  3:30 PM ET</t>
        </is>
      </c>
      <c r="B676" t="n">
        <v>10</v>
      </c>
      <c r="C676" t="inlineStr">
        <is>
          <t>Western Kentucky</t>
        </is>
      </c>
      <c r="D676" t="inlineStr">
        <is>
          <t>Middle Tennessee</t>
        </is>
      </c>
      <c r="E676" t="inlineStr">
        <is>
          <t>Johnny "Red" Floyd Stadium</t>
        </is>
      </c>
      <c r="F676" t="inlineStr"/>
      <c r="G676" t="inlineStr">
        <is>
          <t>Middle Tennessee|Western Kentucky</t>
        </is>
      </c>
    </row>
    <row r="677">
      <c r="A677" t="inlineStr">
        <is>
          <t>Sat Nov 07  3:30 PM ET</t>
        </is>
      </c>
      <c r="B677" t="n">
        <v>10</v>
      </c>
      <c r="C677" t="inlineStr">
        <is>
          <t>Temple</t>
        </is>
      </c>
      <c r="D677" t="inlineStr">
        <is>
          <t>Navy</t>
        </is>
      </c>
      <c r="E677" t="inlineStr">
        <is>
          <t>Navy-Marine Corps Memorial Stadium</t>
        </is>
      </c>
      <c r="F677" t="inlineStr"/>
      <c r="G677" t="inlineStr">
        <is>
          <t>Navy|Temple</t>
        </is>
      </c>
    </row>
    <row r="678">
      <c r="A678" t="inlineStr">
        <is>
          <t>Sat Nov 07  4:00 PM ET</t>
        </is>
      </c>
      <c r="B678" t="n">
        <v>10</v>
      </c>
      <c r="C678" t="inlineStr">
        <is>
          <t>Missouri State</t>
        </is>
      </c>
      <c r="D678" t="inlineStr">
        <is>
          <t>Florida International</t>
        </is>
      </c>
      <c r="E678" t="inlineStr">
        <is>
          <t>Pitbull Stadium</t>
        </is>
      </c>
      <c r="F678" t="inlineStr"/>
      <c r="G678" t="inlineStr">
        <is>
          <t>Florida International|Missouri State</t>
        </is>
      </c>
    </row>
    <row r="679">
      <c r="A679" t="inlineStr">
        <is>
          <t>Sat Nov 07  5:00 PM ET</t>
        </is>
      </c>
      <c r="B679" t="n">
        <v>10</v>
      </c>
      <c r="C679" t="inlineStr">
        <is>
          <t>Liberty</t>
        </is>
      </c>
      <c r="D679" t="inlineStr">
        <is>
          <t>New Mexico State</t>
        </is>
      </c>
      <c r="E679" t="inlineStr">
        <is>
          <t>Aggie Memorial Stadium</t>
        </is>
      </c>
      <c r="F679" t="inlineStr"/>
      <c r="G679" t="inlineStr">
        <is>
          <t>Liberty|New Mexico State</t>
        </is>
      </c>
    </row>
    <row r="680">
      <c r="A680" t="inlineStr">
        <is>
          <t>Sat Nov 07  6:00 PM ET</t>
        </is>
      </c>
      <c r="B680" t="n">
        <v>10</v>
      </c>
      <c r="C680" t="inlineStr">
        <is>
          <t>Boise State</t>
        </is>
      </c>
      <c r="D680" t="inlineStr">
        <is>
          <t>Colorado State</t>
        </is>
      </c>
      <c r="E680" t="inlineStr">
        <is>
          <t>Canvas Stadium</t>
        </is>
      </c>
      <c r="F680" t="inlineStr"/>
      <c r="G680" t="inlineStr">
        <is>
          <t>Boise State|Colorado State</t>
        </is>
      </c>
    </row>
    <row r="681">
      <c r="A681" t="inlineStr">
        <is>
          <t>Sat Nov 07  7:00 PM ET</t>
        </is>
      </c>
      <c r="B681" t="n">
        <v>10</v>
      </c>
      <c r="C681" t="inlineStr">
        <is>
          <t>Sam Houston</t>
        </is>
      </c>
      <c r="D681" t="inlineStr">
        <is>
          <t>Jacksonville State</t>
        </is>
      </c>
      <c r="E681" t="inlineStr">
        <is>
          <t>AmFirst Stadium</t>
        </is>
      </c>
      <c r="F681" t="inlineStr"/>
      <c r="G681" t="inlineStr">
        <is>
          <t>Jacksonville State|Sam Houston</t>
        </is>
      </c>
    </row>
    <row r="682">
      <c r="A682" t="inlineStr">
        <is>
          <t>Sat Nov 07  7:30 PM ET</t>
        </is>
      </c>
      <c r="B682" t="n">
        <v>10</v>
      </c>
      <c r="C682" t="inlineStr">
        <is>
          <t>Miami</t>
        </is>
      </c>
      <c r="D682" t="inlineStr">
        <is>
          <t>Notre Dame</t>
        </is>
      </c>
      <c r="E682" t="inlineStr">
        <is>
          <t>Notre Dame Stadium</t>
        </is>
      </c>
      <c r="F682" t="inlineStr"/>
      <c r="G682" t="inlineStr">
        <is>
          <t>Miami|Notre Dame</t>
        </is>
      </c>
    </row>
    <row r="683">
      <c r="A683" t="inlineStr">
        <is>
          <t>Sat Nov 07  7:30 PM ET</t>
        </is>
      </c>
      <c r="B683" t="n">
        <v>10</v>
      </c>
      <c r="C683" t="inlineStr">
        <is>
          <t>Air Force</t>
        </is>
      </c>
      <c r="D683" t="inlineStr">
        <is>
          <t>Army</t>
        </is>
      </c>
      <c r="E683" t="inlineStr">
        <is>
          <t>Michie Stadium</t>
        </is>
      </c>
      <c r="F683" t="inlineStr"/>
      <c r="G683" t="inlineStr">
        <is>
          <t>Air Force|Army</t>
        </is>
      </c>
    </row>
    <row r="684">
      <c r="A684" t="inlineStr">
        <is>
          <t>Sat Nov 07  9:30 PM ET</t>
        </is>
      </c>
      <c r="B684" t="n">
        <v>10</v>
      </c>
      <c r="C684" t="inlineStr">
        <is>
          <t>Fresno State</t>
        </is>
      </c>
      <c r="D684" t="inlineStr">
        <is>
          <t>Utah State</t>
        </is>
      </c>
      <c r="E684" t="inlineStr">
        <is>
          <t>Maverik Stadium</t>
        </is>
      </c>
      <c r="F684" t="inlineStr"/>
      <c r="G684" t="inlineStr">
        <is>
          <t>Fresno State|Utah State</t>
        </is>
      </c>
    </row>
    <row r="685">
      <c r="A685" t="inlineStr">
        <is>
          <t>Sat Nov 07  10:30 PM ET</t>
        </is>
      </c>
      <c r="B685" t="n">
        <v>10</v>
      </c>
      <c r="C685" t="inlineStr">
        <is>
          <t>Texas State</t>
        </is>
      </c>
      <c r="D685" t="inlineStr">
        <is>
          <t>Oregon State</t>
        </is>
      </c>
      <c r="E685" t="inlineStr">
        <is>
          <t>Reser Stadium</t>
        </is>
      </c>
      <c r="F685" t="inlineStr"/>
      <c r="G685" t="inlineStr">
        <is>
          <t>Oregon State|Texas State</t>
        </is>
      </c>
    </row>
    <row r="686">
      <c r="A686" t="inlineStr">
        <is>
          <t>Sat Nov 07  10:30 PM ET</t>
        </is>
      </c>
      <c r="B686" t="n">
        <v>10</v>
      </c>
      <c r="C686" t="inlineStr">
        <is>
          <t>Wyoming</t>
        </is>
      </c>
      <c r="D686" t="inlineStr">
        <is>
          <t>UNLV</t>
        </is>
      </c>
      <c r="E686" t="inlineStr">
        <is>
          <t>Allegiant Stadium</t>
        </is>
      </c>
      <c r="F686" t="inlineStr"/>
      <c r="G686" t="inlineStr">
        <is>
          <t>UNLV|Wyoming</t>
        </is>
      </c>
    </row>
    <row r="687">
      <c r="A687" t="inlineStr">
        <is>
          <t>Tue Nov 10  7:00 PM ET</t>
        </is>
      </c>
      <c r="B687" t="n">
        <v>11</v>
      </c>
      <c r="C687" t="inlineStr">
        <is>
          <t>Kent State</t>
        </is>
      </c>
      <c r="D687" t="inlineStr">
        <is>
          <t>Bowling Green</t>
        </is>
      </c>
      <c r="E687" t="inlineStr">
        <is>
          <t>Doyt L. Perry Stadium</t>
        </is>
      </c>
      <c r="F687" t="inlineStr"/>
      <c r="G687" t="inlineStr">
        <is>
          <t>Bowling Green|Kent State</t>
        </is>
      </c>
    </row>
    <row r="688">
      <c r="A688" t="inlineStr">
        <is>
          <t>Tue Nov 10  7:00 PM ET</t>
        </is>
      </c>
      <c r="B688" t="n">
        <v>11</v>
      </c>
      <c r="C688" t="inlineStr">
        <is>
          <t>Western Michigan</t>
        </is>
      </c>
      <c r="D688" t="inlineStr">
        <is>
          <t>Akron</t>
        </is>
      </c>
      <c r="E688" t="inlineStr">
        <is>
          <t>InfoCision Stadium</t>
        </is>
      </c>
      <c r="F688" t="inlineStr"/>
      <c r="G688" t="inlineStr">
        <is>
          <t>Akron|Western Michigan</t>
        </is>
      </c>
    </row>
    <row r="689">
      <c r="A689" t="inlineStr">
        <is>
          <t>Tue Nov 10  7:00 PM ET</t>
        </is>
      </c>
      <c r="B689" t="n">
        <v>11</v>
      </c>
      <c r="C689" t="inlineStr">
        <is>
          <t>Ohio</t>
        </is>
      </c>
      <c r="D689" t="inlineStr">
        <is>
          <t>Miami (OH)</t>
        </is>
      </c>
      <c r="E689" t="inlineStr">
        <is>
          <t>Yager Stadium</t>
        </is>
      </c>
      <c r="F689" t="inlineStr"/>
      <c r="G689" t="inlineStr">
        <is>
          <t>Miami (OH)|Ohio</t>
        </is>
      </c>
    </row>
    <row r="690">
      <c r="A690" t="inlineStr">
        <is>
          <t>Wed Nov 11  TBD</t>
        </is>
      </c>
      <c r="B690" t="n">
        <v>11</v>
      </c>
      <c r="C690" t="inlineStr">
        <is>
          <t>Buffalo</t>
        </is>
      </c>
      <c r="D690" t="inlineStr">
        <is>
          <t>Ball State</t>
        </is>
      </c>
      <c r="E690" t="inlineStr">
        <is>
          <t>Scheumann Stadium</t>
        </is>
      </c>
      <c r="F690" t="inlineStr"/>
      <c r="G690" t="inlineStr">
        <is>
          <t>Ball State|Buffalo</t>
        </is>
      </c>
    </row>
    <row r="691">
      <c r="A691" t="inlineStr">
        <is>
          <t>Wed Nov 11  TBD</t>
        </is>
      </c>
      <c r="B691" t="n">
        <v>11</v>
      </c>
      <c r="C691" t="inlineStr">
        <is>
          <t>Sacramento State</t>
        </is>
      </c>
      <c r="D691" t="inlineStr">
        <is>
          <t>Central Michigan</t>
        </is>
      </c>
      <c r="E691" t="inlineStr">
        <is>
          <t>Kelly/Shorts Stadium</t>
        </is>
      </c>
      <c r="F691" t="inlineStr"/>
      <c r="G691" t="inlineStr">
        <is>
          <t>Central Michigan|Sacramento State</t>
        </is>
      </c>
    </row>
    <row r="692">
      <c r="A692" t="inlineStr">
        <is>
          <t>Wed Nov 11  TBD</t>
        </is>
      </c>
      <c r="B692" t="n">
        <v>11</v>
      </c>
      <c r="C692" t="inlineStr">
        <is>
          <t>UMass</t>
        </is>
      </c>
      <c r="D692" t="inlineStr">
        <is>
          <t>Toledo</t>
        </is>
      </c>
      <c r="E692" t="inlineStr">
        <is>
          <t>Glass Bowl</t>
        </is>
      </c>
      <c r="F692" t="inlineStr"/>
      <c r="G692" t="inlineStr">
        <is>
          <t>Toledo|UMass</t>
        </is>
      </c>
    </row>
    <row r="693">
      <c r="A693" t="inlineStr">
        <is>
          <t>Thu Nov 12  8:00 PM ET</t>
        </is>
      </c>
      <c r="B693" t="n">
        <v>11</v>
      </c>
      <c r="C693" t="inlineStr">
        <is>
          <t>Memphis</t>
        </is>
      </c>
      <c r="D693" t="inlineStr">
        <is>
          <t>South Florida</t>
        </is>
      </c>
      <c r="E693" t="inlineStr">
        <is>
          <t>Raymond James Stadium</t>
        </is>
      </c>
      <c r="F693" t="inlineStr"/>
      <c r="G693" t="inlineStr">
        <is>
          <t>Memphis|South Florida</t>
        </is>
      </c>
    </row>
    <row r="694">
      <c r="A694" t="inlineStr">
        <is>
          <t>Thu Nov 12  9:00 PM ET</t>
        </is>
      </c>
      <c r="B694" t="n">
        <v>11</v>
      </c>
      <c r="C694" t="inlineStr">
        <is>
          <t>Louisiana</t>
        </is>
      </c>
      <c r="D694" t="inlineStr">
        <is>
          <t>Louisiana-Monroe</t>
        </is>
      </c>
      <c r="E694" t="inlineStr">
        <is>
          <t>Malone Stadium</t>
        </is>
      </c>
      <c r="F694" t="inlineStr"/>
      <c r="G694" t="inlineStr">
        <is>
          <t>Louisiana|Louisiana-Monroe</t>
        </is>
      </c>
    </row>
    <row r="695">
      <c r="A695" t="inlineStr">
        <is>
          <t>Fri Nov 13  7:00 PM ET</t>
        </is>
      </c>
      <c r="B695" t="n">
        <v>11</v>
      </c>
      <c r="C695" t="inlineStr">
        <is>
          <t>Florida State</t>
        </is>
      </c>
      <c r="D695" t="inlineStr">
        <is>
          <t>Pittsburgh</t>
        </is>
      </c>
      <c r="E695" t="inlineStr">
        <is>
          <t>Acrisure Stadium</t>
        </is>
      </c>
      <c r="F695" t="inlineStr"/>
      <c r="G695" t="inlineStr">
        <is>
          <t>Florida State|Pittsburgh</t>
        </is>
      </c>
    </row>
    <row r="696">
      <c r="A696" t="inlineStr">
        <is>
          <t>Fri Nov 13  9:00 PM ET</t>
        </is>
      </c>
      <c r="B696" t="n">
        <v>11</v>
      </c>
      <c r="C696" t="inlineStr">
        <is>
          <t>Illinois</t>
        </is>
      </c>
      <c r="D696" t="inlineStr">
        <is>
          <t>UCLA</t>
        </is>
      </c>
      <c r="E696" t="inlineStr">
        <is>
          <t>Rose Bowl</t>
        </is>
      </c>
      <c r="F696" t="inlineStr"/>
      <c r="G696" t="inlineStr">
        <is>
          <t>Illinois|UCLA</t>
        </is>
      </c>
    </row>
    <row r="697">
      <c r="A697" t="inlineStr">
        <is>
          <t>Fri Nov 13  10:15 PM ET</t>
        </is>
      </c>
      <c r="B697" t="n">
        <v>11</v>
      </c>
      <c r="C697" t="inlineStr">
        <is>
          <t>Houston</t>
        </is>
      </c>
      <c r="D697" t="inlineStr">
        <is>
          <t>Colorado</t>
        </is>
      </c>
      <c r="E697" t="inlineStr">
        <is>
          <t>Folsom Field</t>
        </is>
      </c>
      <c r="F697" t="inlineStr"/>
      <c r="G697" t="inlineStr">
        <is>
          <t>Colorado|Houston</t>
        </is>
      </c>
    </row>
    <row r="698">
      <c r="A698" t="inlineStr">
        <is>
          <t>Sat Nov 14  TBD</t>
        </is>
      </c>
      <c r="B698" t="n">
        <v>11</v>
      </c>
      <c r="C698" t="inlineStr">
        <is>
          <t>Georgia Tech</t>
        </is>
      </c>
      <c r="D698" t="inlineStr">
        <is>
          <t>Clemson</t>
        </is>
      </c>
      <c r="E698" t="inlineStr">
        <is>
          <t>Memorial Stadium (Clemson, SC)</t>
        </is>
      </c>
      <c r="F698" t="inlineStr"/>
      <c r="G698" t="inlineStr">
        <is>
          <t>Clemson|Georgia Tech</t>
        </is>
      </c>
    </row>
    <row r="699">
      <c r="A699" t="inlineStr">
        <is>
          <t>Sat Nov 14  TBD</t>
        </is>
      </c>
      <c r="B699" t="n">
        <v>11</v>
      </c>
      <c r="C699" t="inlineStr">
        <is>
          <t>UAB</t>
        </is>
      </c>
      <c r="D699" t="inlineStr">
        <is>
          <t>Temple</t>
        </is>
      </c>
      <c r="E699" t="inlineStr">
        <is>
          <t>Lincoln Financial Field</t>
        </is>
      </c>
      <c r="F699" t="inlineStr"/>
      <c r="G699" t="inlineStr">
        <is>
          <t>Temple|UAB</t>
        </is>
      </c>
    </row>
    <row r="700">
      <c r="A700" t="inlineStr">
        <is>
          <t>Sat Nov 14  TBD</t>
        </is>
      </c>
      <c r="B700" t="n">
        <v>11</v>
      </c>
      <c r="C700" t="inlineStr">
        <is>
          <t>Duke</t>
        </is>
      </c>
      <c r="D700" t="inlineStr">
        <is>
          <t>Miami</t>
        </is>
      </c>
      <c r="E700" t="inlineStr">
        <is>
          <t>Hard Rock Stadium</t>
        </is>
      </c>
      <c r="F700" t="inlineStr"/>
      <c r="G700" t="inlineStr">
        <is>
          <t>Duke|Miami</t>
        </is>
      </c>
    </row>
    <row r="701">
      <c r="A701" t="inlineStr">
        <is>
          <t>Sat Nov 14  TBD</t>
        </is>
      </c>
      <c r="B701" t="n">
        <v>11</v>
      </c>
      <c r="C701" t="inlineStr">
        <is>
          <t>Ole Miss</t>
        </is>
      </c>
      <c r="D701" t="inlineStr">
        <is>
          <t>Oklahoma</t>
        </is>
      </c>
      <c r="E701" t="inlineStr">
        <is>
          <t>Memorial Stadium (Norman, OK)</t>
        </is>
      </c>
      <c r="F701" t="inlineStr"/>
      <c r="G701" t="inlineStr">
        <is>
          <t>Oklahoma|Ole Miss</t>
        </is>
      </c>
    </row>
    <row r="702">
      <c r="A702" t="inlineStr">
        <is>
          <t>Sat Nov 14  TBD</t>
        </is>
      </c>
      <c r="B702" t="n">
        <v>11</v>
      </c>
      <c r="C702" t="inlineStr">
        <is>
          <t>Auburn</t>
        </is>
      </c>
      <c r="D702" t="inlineStr">
        <is>
          <t>Mississippi State</t>
        </is>
      </c>
      <c r="E702" t="inlineStr">
        <is>
          <t>Davis Wade Stadium</t>
        </is>
      </c>
      <c r="F702" t="inlineStr"/>
      <c r="G702" t="inlineStr">
        <is>
          <t>Auburn|Mississippi State</t>
        </is>
      </c>
    </row>
    <row r="703">
      <c r="A703" t="inlineStr">
        <is>
          <t>Sat Nov 14  TBD</t>
        </is>
      </c>
      <c r="B703" t="n">
        <v>11</v>
      </c>
      <c r="C703" t="inlineStr">
        <is>
          <t>Tulane</t>
        </is>
      </c>
      <c r="D703" t="inlineStr">
        <is>
          <t>Rice</t>
        </is>
      </c>
      <c r="E703" t="inlineStr">
        <is>
          <t>Rice Stadium</t>
        </is>
      </c>
      <c r="F703" t="inlineStr"/>
      <c r="G703" t="inlineStr">
        <is>
          <t>Rice|Tulane</t>
        </is>
      </c>
    </row>
    <row r="704">
      <c r="A704" t="inlineStr">
        <is>
          <t>Sat Nov 14  TBD</t>
        </is>
      </c>
      <c r="B704" t="n">
        <v>11</v>
      </c>
      <c r="C704" t="inlineStr">
        <is>
          <t>Wisconsin</t>
        </is>
      </c>
      <c r="D704" t="inlineStr">
        <is>
          <t>Maryland</t>
        </is>
      </c>
      <c r="E704" t="inlineStr">
        <is>
          <t>SECU Stadium</t>
        </is>
      </c>
      <c r="F704" t="inlineStr"/>
      <c r="G704" t="inlineStr">
        <is>
          <t>Maryland|Wisconsin</t>
        </is>
      </c>
    </row>
    <row r="705">
      <c r="A705" t="inlineStr">
        <is>
          <t>Sat Nov 14  TBD</t>
        </is>
      </c>
      <c r="B705" t="n">
        <v>11</v>
      </c>
      <c r="C705" t="inlineStr">
        <is>
          <t>Northwestern</t>
        </is>
      </c>
      <c r="D705" t="inlineStr">
        <is>
          <t>Ohio State</t>
        </is>
      </c>
      <c r="E705" t="inlineStr">
        <is>
          <t>Ohio Stadium</t>
        </is>
      </c>
      <c r="F705" t="inlineStr"/>
      <c r="G705" t="inlineStr">
        <is>
          <t>Northwestern|Ohio State</t>
        </is>
      </c>
    </row>
    <row r="706">
      <c r="A706" t="inlineStr">
        <is>
          <t>Sat Nov 14  TBD</t>
        </is>
      </c>
      <c r="B706" t="n">
        <v>11</v>
      </c>
      <c r="C706" t="inlineStr">
        <is>
          <t>Florida</t>
        </is>
      </c>
      <c r="D706" t="inlineStr">
        <is>
          <t>Kentucky</t>
        </is>
      </c>
      <c r="E706" t="inlineStr">
        <is>
          <t>Kroger Field</t>
        </is>
      </c>
      <c r="F706" t="inlineStr"/>
      <c r="G706" t="inlineStr">
        <is>
          <t>Florida|Kentucky</t>
        </is>
      </c>
    </row>
    <row r="707">
      <c r="A707" t="inlineStr">
        <is>
          <t>Sat Nov 14  TBD</t>
        </is>
      </c>
      <c r="B707" t="n">
        <v>11</v>
      </c>
      <c r="C707" t="inlineStr">
        <is>
          <t>Missouri</t>
        </is>
      </c>
      <c r="D707" t="inlineStr">
        <is>
          <t>Georgia</t>
        </is>
      </c>
      <c r="E707" t="inlineStr">
        <is>
          <t>Sanford Stadium</t>
        </is>
      </c>
      <c r="F707" t="inlineStr"/>
      <c r="G707" t="inlineStr">
        <is>
          <t>Georgia|Missouri</t>
        </is>
      </c>
    </row>
    <row r="708">
      <c r="A708" t="inlineStr">
        <is>
          <t>Sat Nov 14  TBD</t>
        </is>
      </c>
      <c r="B708" t="n">
        <v>11</v>
      </c>
      <c r="C708" t="inlineStr">
        <is>
          <t>North Texas</t>
        </is>
      </c>
      <c r="D708" t="inlineStr">
        <is>
          <t>UTSA</t>
        </is>
      </c>
      <c r="E708" t="inlineStr">
        <is>
          <t>Alamodome</t>
        </is>
      </c>
      <c r="F708" t="inlineStr"/>
      <c r="G708" t="inlineStr">
        <is>
          <t>North Texas|UTSA</t>
        </is>
      </c>
    </row>
    <row r="709">
      <c r="A709" t="inlineStr">
        <is>
          <t>Sat Nov 14  TBD</t>
        </is>
      </c>
      <c r="B709" t="n">
        <v>11</v>
      </c>
      <c r="C709" t="inlineStr">
        <is>
          <t>Kansas</t>
        </is>
      </c>
      <c r="D709" t="inlineStr">
        <is>
          <t>West Virginia</t>
        </is>
      </c>
      <c r="E709" t="inlineStr">
        <is>
          <t>Milan Puskar Stadium</t>
        </is>
      </c>
      <c r="F709" t="inlineStr"/>
      <c r="G709" t="inlineStr">
        <is>
          <t>Kansas|West Virginia</t>
        </is>
      </c>
    </row>
    <row r="710">
      <c r="A710" t="inlineStr">
        <is>
          <t>Sat Nov 14  TBD</t>
        </is>
      </c>
      <c r="B710" t="n">
        <v>11</v>
      </c>
      <c r="C710" t="inlineStr">
        <is>
          <t>Kansas State</t>
        </is>
      </c>
      <c r="D710" t="inlineStr">
        <is>
          <t>TCU</t>
        </is>
      </c>
      <c r="E710" t="inlineStr">
        <is>
          <t>Amon G. Carter Stadium</t>
        </is>
      </c>
      <c r="F710" t="inlineStr"/>
      <c r="G710" t="inlineStr">
        <is>
          <t>Kansas State|TCU</t>
        </is>
      </c>
    </row>
    <row r="711">
      <c r="A711" t="inlineStr">
        <is>
          <t>Sat Nov 14  TBD</t>
        </is>
      </c>
      <c r="B711" t="n">
        <v>11</v>
      </c>
      <c r="C711" t="inlineStr">
        <is>
          <t>Texas Tech</t>
        </is>
      </c>
      <c r="D711" t="inlineStr">
        <is>
          <t>Oklahoma State</t>
        </is>
      </c>
      <c r="E711" t="inlineStr">
        <is>
          <t>Boone Pickens Stadium</t>
        </is>
      </c>
      <c r="F711" t="inlineStr"/>
      <c r="G711" t="inlineStr">
        <is>
          <t>Oklahoma State|Texas Tech</t>
        </is>
      </c>
    </row>
    <row r="712">
      <c r="A712" t="inlineStr">
        <is>
          <t>Sat Nov 14  TBD</t>
        </is>
      </c>
      <c r="B712" t="n">
        <v>11</v>
      </c>
      <c r="C712" t="inlineStr">
        <is>
          <t>Florida Atlantic</t>
        </is>
      </c>
      <c r="D712" t="inlineStr">
        <is>
          <t>Tulsa</t>
        </is>
      </c>
      <c r="E712" t="inlineStr">
        <is>
          <t>Chapman Stadium</t>
        </is>
      </c>
      <c r="F712" t="inlineStr"/>
      <c r="G712" t="inlineStr">
        <is>
          <t>Florida Atlantic|Tulsa</t>
        </is>
      </c>
    </row>
    <row r="713">
      <c r="A713" t="inlineStr">
        <is>
          <t>Sat Nov 14  TBD</t>
        </is>
      </c>
      <c r="B713" t="n">
        <v>11</v>
      </c>
      <c r="C713" t="inlineStr">
        <is>
          <t>Utah</t>
        </is>
      </c>
      <c r="D713" t="inlineStr">
        <is>
          <t>Arizona</t>
        </is>
      </c>
      <c r="E713" t="inlineStr">
        <is>
          <t>Arizona Stadium</t>
        </is>
      </c>
      <c r="F713" t="inlineStr"/>
      <c r="G713" t="inlineStr">
        <is>
          <t>Arizona|Utah</t>
        </is>
      </c>
    </row>
    <row r="714">
      <c r="A714" t="inlineStr">
        <is>
          <t>Sat Nov 14  TBD</t>
        </is>
      </c>
      <c r="B714" t="n">
        <v>11</v>
      </c>
      <c r="C714" t="inlineStr">
        <is>
          <t>East Carolina</t>
        </is>
      </c>
      <c r="D714" t="inlineStr">
        <is>
          <t>Charlotte</t>
        </is>
      </c>
      <c r="E714" t="inlineStr">
        <is>
          <t>Jerry Richardson Stadium</t>
        </is>
      </c>
      <c r="F714" t="inlineStr"/>
      <c r="G714" t="inlineStr">
        <is>
          <t>Charlotte|East Carolina</t>
        </is>
      </c>
    </row>
    <row r="715">
      <c r="A715" t="inlineStr">
        <is>
          <t>Sat Nov 14  TBD</t>
        </is>
      </c>
      <c r="B715" t="n">
        <v>11</v>
      </c>
      <c r="C715" t="inlineStr">
        <is>
          <t>Syracuse</t>
        </is>
      </c>
      <c r="D715" t="inlineStr">
        <is>
          <t>NC State</t>
        </is>
      </c>
      <c r="E715" t="inlineStr">
        <is>
          <t>Carter-Finley Stadium</t>
        </is>
      </c>
      <c r="F715" t="inlineStr"/>
      <c r="G715" t="inlineStr">
        <is>
          <t>NC State|Syracuse</t>
        </is>
      </c>
    </row>
    <row r="716">
      <c r="A716" t="inlineStr">
        <is>
          <t>Sat Nov 14  TBD</t>
        </is>
      </c>
      <c r="B716" t="n">
        <v>11</v>
      </c>
      <c r="C716" t="inlineStr">
        <is>
          <t>Louisville</t>
        </is>
      </c>
      <c r="D716" t="inlineStr">
        <is>
          <t>North Carolina</t>
        </is>
      </c>
      <c r="E716" t="inlineStr">
        <is>
          <t>Kenan Stadium</t>
        </is>
      </c>
      <c r="F716" t="inlineStr"/>
      <c r="G716" t="inlineStr">
        <is>
          <t>Louisville|North Carolina</t>
        </is>
      </c>
    </row>
    <row r="717">
      <c r="A717" t="inlineStr">
        <is>
          <t>Sat Nov 14  TBD</t>
        </is>
      </c>
      <c r="B717" t="n">
        <v>11</v>
      </c>
      <c r="C717" t="inlineStr">
        <is>
          <t>Minnesota</t>
        </is>
      </c>
      <c r="D717" t="inlineStr">
        <is>
          <t>Penn State</t>
        </is>
      </c>
      <c r="E717" t="inlineStr">
        <is>
          <t>Beaver Stadium</t>
        </is>
      </c>
      <c r="F717" t="inlineStr"/>
      <c r="G717" t="inlineStr">
        <is>
          <t>Minnesota|Penn State</t>
        </is>
      </c>
    </row>
    <row r="718">
      <c r="A718" t="inlineStr">
        <is>
          <t>Sat Nov 14  TBD</t>
        </is>
      </c>
      <c r="B718" t="n">
        <v>11</v>
      </c>
      <c r="C718" t="inlineStr">
        <is>
          <t>USC</t>
        </is>
      </c>
      <c r="D718" t="inlineStr">
        <is>
          <t>Indiana</t>
        </is>
      </c>
      <c r="E718" t="inlineStr">
        <is>
          <t>Memorial Stadium (Bloomington, IN)</t>
        </is>
      </c>
      <c r="F718" t="inlineStr"/>
      <c r="G718" t="inlineStr">
        <is>
          <t>Indiana|USC</t>
        </is>
      </c>
    </row>
    <row r="719">
      <c r="A719" t="inlineStr">
        <is>
          <t>Sat Nov 14  TBD</t>
        </is>
      </c>
      <c r="B719" t="n">
        <v>11</v>
      </c>
      <c r="C719" t="inlineStr">
        <is>
          <t>Nevada</t>
        </is>
      </c>
      <c r="D719" t="inlineStr">
        <is>
          <t>Northern Illinois</t>
        </is>
      </c>
      <c r="E719" t="inlineStr">
        <is>
          <t>Huskie Stadium</t>
        </is>
      </c>
      <c r="F719" t="inlineStr"/>
      <c r="G719" t="inlineStr">
        <is>
          <t>Nevada|Northern Illinois</t>
        </is>
      </c>
    </row>
    <row r="720">
      <c r="A720" t="inlineStr">
        <is>
          <t>Sat Nov 14  TBD</t>
        </is>
      </c>
      <c r="B720" t="n">
        <v>11</v>
      </c>
      <c r="C720" t="inlineStr">
        <is>
          <t>Georgia Southern</t>
        </is>
      </c>
      <c r="D720" t="inlineStr">
        <is>
          <t>Georgia State</t>
        </is>
      </c>
      <c r="E720" t="inlineStr">
        <is>
          <t>Center Parc Stadium</t>
        </is>
      </c>
      <c r="F720" t="inlineStr"/>
      <c r="G720" t="inlineStr">
        <is>
          <t>Georgia Southern|Georgia State</t>
        </is>
      </c>
    </row>
    <row r="721">
      <c r="A721" t="inlineStr">
        <is>
          <t>Sat Nov 14  TBD</t>
        </is>
      </c>
      <c r="B721" t="n">
        <v>11</v>
      </c>
      <c r="C721" t="inlineStr">
        <is>
          <t>Troy</t>
        </is>
      </c>
      <c r="D721" t="inlineStr">
        <is>
          <t>South Alabama</t>
        </is>
      </c>
      <c r="E721" t="inlineStr">
        <is>
          <t>Hancock Whitney Stadium</t>
        </is>
      </c>
      <c r="F721" t="inlineStr"/>
      <c r="G721" t="inlineStr">
        <is>
          <t>South Alabama|Troy</t>
        </is>
      </c>
    </row>
    <row r="722">
      <c r="A722" t="inlineStr">
        <is>
          <t>Sat Nov 14  TBD</t>
        </is>
      </c>
      <c r="B722" t="n">
        <v>11</v>
      </c>
      <c r="C722" t="inlineStr">
        <is>
          <t>Texas</t>
        </is>
      </c>
      <c r="D722" t="inlineStr">
        <is>
          <t>LSU</t>
        </is>
      </c>
      <c r="E722" t="inlineStr">
        <is>
          <t>Tiger Stadium (LA)</t>
        </is>
      </c>
      <c r="F722" t="inlineStr"/>
      <c r="G722" t="inlineStr">
        <is>
          <t>LSU|Texas</t>
        </is>
      </c>
    </row>
    <row r="723">
      <c r="A723" t="inlineStr">
        <is>
          <t>Sat Nov 14  TBD</t>
        </is>
      </c>
      <c r="B723" t="n">
        <v>11</v>
      </c>
      <c r="C723" t="inlineStr">
        <is>
          <t>Wake Forest</t>
        </is>
      </c>
      <c r="D723" t="inlineStr">
        <is>
          <t>SMU</t>
        </is>
      </c>
      <c r="E723" t="inlineStr">
        <is>
          <t>Gerald J. Ford Stadium</t>
        </is>
      </c>
      <c r="F723" t="inlineStr"/>
      <c r="G723" t="inlineStr">
        <is>
          <t>SMU|Wake Forest</t>
        </is>
      </c>
    </row>
    <row r="724">
      <c r="A724" t="inlineStr">
        <is>
          <t>Sat Nov 14  TBD</t>
        </is>
      </c>
      <c r="B724" t="n">
        <v>11</v>
      </c>
      <c r="C724" t="inlineStr">
        <is>
          <t>South Carolina</t>
        </is>
      </c>
      <c r="D724" t="inlineStr">
        <is>
          <t>Arkansas</t>
        </is>
      </c>
      <c r="E724" t="inlineStr">
        <is>
          <t>Razorback Stadium</t>
        </is>
      </c>
      <c r="F724" t="inlineStr"/>
      <c r="G724" t="inlineStr">
        <is>
          <t>Arkansas|South Carolina</t>
        </is>
      </c>
    </row>
    <row r="725">
      <c r="A725" t="inlineStr">
        <is>
          <t>Sat Nov 14  TBD</t>
        </is>
      </c>
      <c r="B725" t="n">
        <v>11</v>
      </c>
      <c r="C725" t="inlineStr">
        <is>
          <t>Wyoming</t>
        </is>
      </c>
      <c r="D725" t="inlineStr">
        <is>
          <t>UTEP</t>
        </is>
      </c>
      <c r="E725" t="inlineStr">
        <is>
          <t>Sun Bowl</t>
        </is>
      </c>
      <c r="F725" t="inlineStr"/>
      <c r="G725" t="inlineStr">
        <is>
          <t>UTEP|Wyoming</t>
        </is>
      </c>
    </row>
    <row r="726">
      <c r="A726" t="inlineStr">
        <is>
          <t>Sat Nov 14  TBD</t>
        </is>
      </c>
      <c r="B726" t="n">
        <v>11</v>
      </c>
      <c r="C726" t="inlineStr">
        <is>
          <t>Arkansas State</t>
        </is>
      </c>
      <c r="D726" t="inlineStr">
        <is>
          <t>Coastal Carolina</t>
        </is>
      </c>
      <c r="E726" t="inlineStr">
        <is>
          <t>Brooks Stadium (SC)</t>
        </is>
      </c>
      <c r="F726" t="inlineStr"/>
      <c r="G726" t="inlineStr">
        <is>
          <t>Arkansas State|Coastal Carolina</t>
        </is>
      </c>
    </row>
    <row r="727">
      <c r="A727" t="inlineStr">
        <is>
          <t>Sat Nov 14  TBD</t>
        </is>
      </c>
      <c r="B727" t="n">
        <v>11</v>
      </c>
      <c r="C727" t="inlineStr">
        <is>
          <t>Alabama</t>
        </is>
      </c>
      <c r="D727" t="inlineStr">
        <is>
          <t>Vanderbilt</t>
        </is>
      </c>
      <c r="E727" t="inlineStr">
        <is>
          <t>FirstBank Stadium</t>
        </is>
      </c>
      <c r="F727" t="inlineStr"/>
      <c r="G727" t="inlineStr">
        <is>
          <t>Alabama|Vanderbilt</t>
        </is>
      </c>
    </row>
    <row r="728">
      <c r="A728" t="inlineStr">
        <is>
          <t>Sat Nov 14  TBD</t>
        </is>
      </c>
      <c r="B728" t="n">
        <v>11</v>
      </c>
      <c r="C728" t="inlineStr">
        <is>
          <t>Baylor</t>
        </is>
      </c>
      <c r="D728" t="inlineStr">
        <is>
          <t>BYU</t>
        </is>
      </c>
      <c r="E728" t="inlineStr">
        <is>
          <t>LaVell Edwards Stadium</t>
        </is>
      </c>
      <c r="F728" t="inlineStr"/>
      <c r="G728" t="inlineStr">
        <is>
          <t>BYU|Baylor</t>
        </is>
      </c>
    </row>
    <row r="729">
      <c r="A729" t="inlineStr">
        <is>
          <t>Sat Nov 14  TBD</t>
        </is>
      </c>
      <c r="B729" t="n">
        <v>11</v>
      </c>
      <c r="C729" t="inlineStr">
        <is>
          <t>California</t>
        </is>
      </c>
      <c r="D729" t="inlineStr">
        <is>
          <t>Virginia</t>
        </is>
      </c>
      <c r="E729" t="inlineStr">
        <is>
          <t>Scott Stadium</t>
        </is>
      </c>
      <c r="F729" t="inlineStr"/>
      <c r="G729" t="inlineStr">
        <is>
          <t>California|Virginia</t>
        </is>
      </c>
    </row>
    <row r="730">
      <c r="A730" t="inlineStr">
        <is>
          <t>Sat Nov 14  TBD</t>
        </is>
      </c>
      <c r="B730" t="n">
        <v>11</v>
      </c>
      <c r="C730" t="inlineStr">
        <is>
          <t>Appalachian State</t>
        </is>
      </c>
      <c r="D730" t="inlineStr">
        <is>
          <t>Marshall</t>
        </is>
      </c>
      <c r="E730" t="inlineStr">
        <is>
          <t>Joan C. Edwards Stadium</t>
        </is>
      </c>
      <c r="F730" t="inlineStr"/>
      <c r="G730" t="inlineStr">
        <is>
          <t>Appalachian State|Marshall</t>
        </is>
      </c>
    </row>
    <row r="731">
      <c r="A731" t="inlineStr">
        <is>
          <t>Sat Nov 14  TBD</t>
        </is>
      </c>
      <c r="B731" t="n">
        <v>11</v>
      </c>
      <c r="C731" t="inlineStr">
        <is>
          <t>Nebraska</t>
        </is>
      </c>
      <c r="D731" t="inlineStr">
        <is>
          <t>Rutgers</t>
        </is>
      </c>
      <c r="E731" t="inlineStr">
        <is>
          <t>SHI Stadium</t>
        </is>
      </c>
      <c r="F731" t="inlineStr"/>
      <c r="G731" t="inlineStr">
        <is>
          <t>Nebraska|Rutgers</t>
        </is>
      </c>
    </row>
    <row r="732">
      <c r="A732" t="inlineStr">
        <is>
          <t>Sat Nov 14  TBD</t>
        </is>
      </c>
      <c r="B732" t="n">
        <v>11</v>
      </c>
      <c r="C732" t="inlineStr">
        <is>
          <t>Cincinnati</t>
        </is>
      </c>
      <c r="D732" t="inlineStr">
        <is>
          <t>Iowa State</t>
        </is>
      </c>
      <c r="E732" t="inlineStr">
        <is>
          <t>Jack Trice Stadium</t>
        </is>
      </c>
      <c r="F732" t="inlineStr"/>
      <c r="G732" t="inlineStr">
        <is>
          <t>Cincinnati|Iowa State</t>
        </is>
      </c>
    </row>
    <row r="733">
      <c r="A733" t="inlineStr">
        <is>
          <t>Sat Nov 14  TBD</t>
        </is>
      </c>
      <c r="B733" t="n">
        <v>11</v>
      </c>
      <c r="C733" t="inlineStr">
        <is>
          <t>Southern Miss</t>
        </is>
      </c>
      <c r="D733" t="inlineStr">
        <is>
          <t>Louisiana Tech</t>
        </is>
      </c>
      <c r="E733" t="inlineStr">
        <is>
          <t>Joe Aillet Stadium</t>
        </is>
      </c>
      <c r="F733" t="inlineStr"/>
      <c r="G733" t="inlineStr">
        <is>
          <t>Louisiana Tech|Southern Miss</t>
        </is>
      </c>
    </row>
    <row r="734">
      <c r="A734" t="inlineStr">
        <is>
          <t>Sat Nov 14  TBD</t>
        </is>
      </c>
      <c r="B734" t="n">
        <v>11</v>
      </c>
      <c r="C734" t="inlineStr">
        <is>
          <t>Arizona State</t>
        </is>
      </c>
      <c r="D734" t="inlineStr">
        <is>
          <t>UCF</t>
        </is>
      </c>
      <c r="E734" t="inlineStr">
        <is>
          <t>FBC Mortgage Stadium</t>
        </is>
      </c>
      <c r="F734" t="inlineStr"/>
      <c r="G734" t="inlineStr">
        <is>
          <t>Arizona State|UCF</t>
        </is>
      </c>
    </row>
    <row r="735">
      <c r="A735" t="inlineStr">
        <is>
          <t>Sat Nov 14  TBD</t>
        </is>
      </c>
      <c r="B735" t="n">
        <v>11</v>
      </c>
      <c r="C735" t="inlineStr">
        <is>
          <t>Tennessee</t>
        </is>
      </c>
      <c r="D735" t="inlineStr">
        <is>
          <t>Texas A&amp;M</t>
        </is>
      </c>
      <c r="E735" t="inlineStr">
        <is>
          <t>Kyle Field</t>
        </is>
      </c>
      <c r="F735" t="inlineStr"/>
      <c r="G735" t="inlineStr">
        <is>
          <t>Tennessee|Texas A&amp;M</t>
        </is>
      </c>
    </row>
    <row r="736">
      <c r="A736" t="inlineStr">
        <is>
          <t>Sat Nov 14  TBD</t>
        </is>
      </c>
      <c r="B736" t="n">
        <v>11</v>
      </c>
      <c r="C736" t="inlineStr">
        <is>
          <t>Stanford</t>
        </is>
      </c>
      <c r="D736" t="inlineStr">
        <is>
          <t>Virginia Tech</t>
        </is>
      </c>
      <c r="E736" t="inlineStr">
        <is>
          <t>Lane Stadium</t>
        </is>
      </c>
      <c r="F736" t="inlineStr"/>
      <c r="G736" t="inlineStr">
        <is>
          <t>Stanford|Virginia Tech</t>
        </is>
      </c>
    </row>
    <row r="737">
      <c r="A737" t="inlineStr">
        <is>
          <t>Sat Nov 14  TBD</t>
        </is>
      </c>
      <c r="B737" t="n">
        <v>11</v>
      </c>
      <c r="C737" t="inlineStr">
        <is>
          <t>Washington</t>
        </is>
      </c>
      <c r="D737" t="inlineStr">
        <is>
          <t>Michigan State</t>
        </is>
      </c>
      <c r="E737" t="inlineStr">
        <is>
          <t>Spartan Stadium</t>
        </is>
      </c>
      <c r="F737" t="inlineStr"/>
      <c r="G737" t="inlineStr">
        <is>
          <t>Michigan State|Washington</t>
        </is>
      </c>
    </row>
    <row r="738">
      <c r="A738" t="inlineStr">
        <is>
          <t>Sat Nov 14  TBD</t>
        </is>
      </c>
      <c r="B738" t="n">
        <v>11</v>
      </c>
      <c r="C738" t="inlineStr">
        <is>
          <t>Michigan</t>
        </is>
      </c>
      <c r="D738" t="inlineStr">
        <is>
          <t>Oregon</t>
        </is>
      </c>
      <c r="E738" t="inlineStr">
        <is>
          <t>Autzen Stadium</t>
        </is>
      </c>
      <c r="F738" t="inlineStr"/>
      <c r="G738" t="inlineStr">
        <is>
          <t>Michigan|Oregon</t>
        </is>
      </c>
    </row>
    <row r="739">
      <c r="A739" t="inlineStr">
        <is>
          <t>Sat Nov 14  TBD</t>
        </is>
      </c>
      <c r="B739" t="n">
        <v>11</v>
      </c>
      <c r="C739" t="inlineStr">
        <is>
          <t>Purdue</t>
        </is>
      </c>
      <c r="D739" t="inlineStr">
        <is>
          <t>Iowa</t>
        </is>
      </c>
      <c r="E739" t="inlineStr">
        <is>
          <t>Kinnick Stadium</t>
        </is>
      </c>
      <c r="F739" t="inlineStr"/>
      <c r="G739" t="inlineStr">
        <is>
          <t>Iowa|Purdue</t>
        </is>
      </c>
    </row>
    <row r="740">
      <c r="A740" t="inlineStr">
        <is>
          <t>Sat Nov 14  12:00 PM ET</t>
        </is>
      </c>
      <c r="B740" t="n">
        <v>11</v>
      </c>
      <c r="C740" t="inlineStr">
        <is>
          <t>James Madison</t>
        </is>
      </c>
      <c r="D740" t="inlineStr">
        <is>
          <t>UConn</t>
        </is>
      </c>
      <c r="E740" t="inlineStr">
        <is>
          <t>Pratt &amp; Whitney Stadium</t>
        </is>
      </c>
      <c r="F740" t="inlineStr"/>
      <c r="G740" t="inlineStr">
        <is>
          <t>James Madison|UConn</t>
        </is>
      </c>
    </row>
    <row r="741">
      <c r="A741" t="inlineStr">
        <is>
          <t>Sat Nov 14  2:00 PM ET</t>
        </is>
      </c>
      <c r="B741" t="n">
        <v>11</v>
      </c>
      <c r="C741" t="inlineStr">
        <is>
          <t>Kennesaw State</t>
        </is>
      </c>
      <c r="D741" t="inlineStr">
        <is>
          <t>Sam Houston</t>
        </is>
      </c>
      <c r="E741" t="inlineStr">
        <is>
          <t>Elliott T. Bowers Stadium</t>
        </is>
      </c>
      <c r="F741" t="inlineStr"/>
      <c r="G741" t="inlineStr">
        <is>
          <t>Kennesaw State|Sam Houston</t>
        </is>
      </c>
    </row>
    <row r="742">
      <c r="A742" t="inlineStr">
        <is>
          <t>Sat Nov 14  3:00 PM ET</t>
        </is>
      </c>
      <c r="B742" t="n">
        <v>11</v>
      </c>
      <c r="C742" t="inlineStr">
        <is>
          <t>Florida International</t>
        </is>
      </c>
      <c r="D742" t="inlineStr">
        <is>
          <t>Delaware</t>
        </is>
      </c>
      <c r="E742" t="inlineStr">
        <is>
          <t>Delaware Stadium</t>
        </is>
      </c>
      <c r="F742" t="inlineStr"/>
      <c r="G742" t="inlineStr">
        <is>
          <t>Delaware|Florida International</t>
        </is>
      </c>
    </row>
    <row r="743">
      <c r="A743" t="inlineStr">
        <is>
          <t>Sat Nov 14  3:00 PM ET</t>
        </is>
      </c>
      <c r="B743" t="n">
        <v>11</v>
      </c>
      <c r="C743" t="inlineStr">
        <is>
          <t>New Mexico State</t>
        </is>
      </c>
      <c r="D743" t="inlineStr">
        <is>
          <t>Missouri State</t>
        </is>
      </c>
      <c r="E743" t="inlineStr">
        <is>
          <t>Plaster Sports Complex</t>
        </is>
      </c>
      <c r="F743" t="inlineStr"/>
      <c r="G743" t="inlineStr">
        <is>
          <t>Missouri State|New Mexico State</t>
        </is>
      </c>
    </row>
    <row r="744">
      <c r="A744" t="inlineStr">
        <is>
          <t>Sat Nov 14  3:30 PM ET</t>
        </is>
      </c>
      <c r="B744" t="n">
        <v>11</v>
      </c>
      <c r="C744" t="inlineStr">
        <is>
          <t>Middle Tennessee</t>
        </is>
      </c>
      <c r="D744" t="inlineStr">
        <is>
          <t>Liberty</t>
        </is>
      </c>
      <c r="E744" t="inlineStr">
        <is>
          <t>Williams Stadium (VA)</t>
        </is>
      </c>
      <c r="F744" t="inlineStr"/>
      <c r="G744" t="inlineStr">
        <is>
          <t>Liberty|Middle Tennessee</t>
        </is>
      </c>
    </row>
    <row r="745">
      <c r="A745" t="inlineStr">
        <is>
          <t>Sat Nov 14  3:30 PM ET</t>
        </is>
      </c>
      <c r="B745" t="n">
        <v>11</v>
      </c>
      <c r="C745" t="inlineStr">
        <is>
          <t>Jacksonville State</t>
        </is>
      </c>
      <c r="D745" t="inlineStr">
        <is>
          <t>Western Kentucky</t>
        </is>
      </c>
      <c r="E745" t="inlineStr">
        <is>
          <t>Houchens Industries-L.T. Smith Stadium</t>
        </is>
      </c>
      <c r="F745" t="inlineStr"/>
      <c r="G745" t="inlineStr">
        <is>
          <t>Jacksonville State|Western Kentucky</t>
        </is>
      </c>
    </row>
    <row r="746">
      <c r="A746" t="inlineStr">
        <is>
          <t>Sat Nov 14  3:30 PM ET</t>
        </is>
      </c>
      <c r="B746" t="n">
        <v>11</v>
      </c>
      <c r="C746" t="inlineStr">
        <is>
          <t>Boston College</t>
        </is>
      </c>
      <c r="D746" t="inlineStr">
        <is>
          <t>Notre Dame</t>
        </is>
      </c>
      <c r="E746" t="inlineStr">
        <is>
          <t>Notre Dame Stadium</t>
        </is>
      </c>
      <c r="F746" t="inlineStr"/>
      <c r="G746" t="inlineStr">
        <is>
          <t>Boston College|Notre Dame</t>
        </is>
      </c>
    </row>
    <row r="747">
      <c r="A747" t="inlineStr">
        <is>
          <t>Sat Nov 14  4:00 PM ET</t>
        </is>
      </c>
      <c r="B747" t="n">
        <v>11</v>
      </c>
      <c r="C747" t="inlineStr">
        <is>
          <t>Fresno State</t>
        </is>
      </c>
      <c r="D747" t="inlineStr">
        <is>
          <t>Texas State</t>
        </is>
      </c>
      <c r="E747" t="inlineStr">
        <is>
          <t>Bobcat Stadium (TX)</t>
        </is>
      </c>
      <c r="F747" t="inlineStr"/>
      <c r="G747" t="inlineStr">
        <is>
          <t>Fresno State|Texas State</t>
        </is>
      </c>
    </row>
    <row r="748">
      <c r="A748" t="inlineStr">
        <is>
          <t>Sat Nov 14  6:00 PM ET</t>
        </is>
      </c>
      <c r="B748" t="n">
        <v>11</v>
      </c>
      <c r="C748" t="inlineStr">
        <is>
          <t>Oregon State</t>
        </is>
      </c>
      <c r="D748" t="inlineStr">
        <is>
          <t>Boise State</t>
        </is>
      </c>
      <c r="E748" t="inlineStr">
        <is>
          <t>Albertsons Stadium</t>
        </is>
      </c>
      <c r="F748" t="inlineStr"/>
      <c r="G748" t="inlineStr">
        <is>
          <t>Boise State|Oregon State</t>
        </is>
      </c>
    </row>
    <row r="749">
      <c r="A749" t="inlineStr">
        <is>
          <t>Sat Nov 14  7:00 PM ET</t>
        </is>
      </c>
      <c r="B749" t="n">
        <v>11</v>
      </c>
      <c r="C749" t="inlineStr">
        <is>
          <t>San Jose State</t>
        </is>
      </c>
      <c r="D749" t="inlineStr">
        <is>
          <t>Air Force</t>
        </is>
      </c>
      <c r="E749" t="inlineStr">
        <is>
          <t>Falcon Stadium</t>
        </is>
      </c>
      <c r="F749" t="inlineStr"/>
      <c r="G749" t="inlineStr">
        <is>
          <t>Air Force|San Jose State</t>
        </is>
      </c>
    </row>
    <row r="750">
      <c r="A750" t="inlineStr">
        <is>
          <t>Sat Nov 14  7:30 PM ET</t>
        </is>
      </c>
      <c r="B750" t="n">
        <v>11</v>
      </c>
      <c r="C750" t="inlineStr">
        <is>
          <t>UNLV</t>
        </is>
      </c>
      <c r="D750" t="inlineStr">
        <is>
          <t>New Mexico</t>
        </is>
      </c>
      <c r="E750" t="inlineStr">
        <is>
          <t>University Stadium (NM)</t>
        </is>
      </c>
      <c r="F750" t="inlineStr"/>
      <c r="G750" t="inlineStr">
        <is>
          <t>New Mexico|UNLV</t>
        </is>
      </c>
    </row>
    <row r="751">
      <c r="A751" t="inlineStr">
        <is>
          <t>Sat Nov 14  9:30 PM ET</t>
        </is>
      </c>
      <c r="B751" t="n">
        <v>11</v>
      </c>
      <c r="C751" t="inlineStr">
        <is>
          <t>Utah State</t>
        </is>
      </c>
      <c r="D751" t="inlineStr">
        <is>
          <t>San Diego State</t>
        </is>
      </c>
      <c r="E751" t="inlineStr">
        <is>
          <t>Snapdragon Stadium</t>
        </is>
      </c>
      <c r="F751" t="inlineStr"/>
      <c r="G751" t="inlineStr">
        <is>
          <t>San Diego State|Utah State</t>
        </is>
      </c>
    </row>
    <row r="752">
      <c r="A752" t="inlineStr">
        <is>
          <t>Sat Nov 14  10:30 PM ET</t>
        </is>
      </c>
      <c r="B752" t="n">
        <v>11</v>
      </c>
      <c r="C752" t="inlineStr">
        <is>
          <t>Colorado State</t>
        </is>
      </c>
      <c r="D752" t="inlineStr">
        <is>
          <t>Washington State</t>
        </is>
      </c>
      <c r="E752" t="inlineStr">
        <is>
          <t>Gesa Field</t>
        </is>
      </c>
      <c r="F752" t="inlineStr"/>
      <c r="G752" t="inlineStr">
        <is>
          <t>Colorado State|Washington State</t>
        </is>
      </c>
    </row>
    <row r="753">
      <c r="A753" t="inlineStr">
        <is>
          <t>Sat Nov 14  11:59 PM ET</t>
        </is>
      </c>
      <c r="B753" t="n">
        <v>11</v>
      </c>
      <c r="C753" t="inlineStr">
        <is>
          <t>North Dakota State</t>
        </is>
      </c>
      <c r="D753" t="inlineStr">
        <is>
          <t>Hawaii</t>
        </is>
      </c>
      <c r="E753" t="inlineStr">
        <is>
          <t>Clarence T.C. Ching Athletics Complex</t>
        </is>
      </c>
      <c r="F753" t="inlineStr"/>
      <c r="G753" t="inlineStr">
        <is>
          <t>Hawaii|North Dakota State</t>
        </is>
      </c>
    </row>
    <row r="754">
      <c r="A754" t="inlineStr">
        <is>
          <t>Tue Nov 17  7:00 PM ET</t>
        </is>
      </c>
      <c r="B754" t="n">
        <v>12</v>
      </c>
      <c r="C754" t="inlineStr">
        <is>
          <t>Ball State</t>
        </is>
      </c>
      <c r="D754" t="inlineStr">
        <is>
          <t>Ohio</t>
        </is>
      </c>
      <c r="E754" t="inlineStr">
        <is>
          <t>Peden Stadium</t>
        </is>
      </c>
      <c r="F754" t="inlineStr"/>
      <c r="G754" t="inlineStr">
        <is>
          <t>Ball State|Ohio</t>
        </is>
      </c>
    </row>
    <row r="755">
      <c r="A755" t="inlineStr">
        <is>
          <t>Tue Nov 17  7:00 PM ET</t>
        </is>
      </c>
      <c r="B755" t="n">
        <v>12</v>
      </c>
      <c r="C755" t="inlineStr">
        <is>
          <t>Eastern Michigan</t>
        </is>
      </c>
      <c r="D755" t="inlineStr">
        <is>
          <t>Western Michigan</t>
        </is>
      </c>
      <c r="E755" t="inlineStr">
        <is>
          <t>Waldo Stadium</t>
        </is>
      </c>
      <c r="F755" t="inlineStr"/>
      <c r="G755" t="inlineStr">
        <is>
          <t>Eastern Michigan|Western Michigan</t>
        </is>
      </c>
    </row>
    <row r="756">
      <c r="A756" t="inlineStr">
        <is>
          <t>Tue Nov 17  7:00 PM ET</t>
        </is>
      </c>
      <c r="B756" t="n">
        <v>12</v>
      </c>
      <c r="C756" t="inlineStr">
        <is>
          <t>Miami (OH)</t>
        </is>
      </c>
      <c r="D756" t="inlineStr">
        <is>
          <t>Kent State</t>
        </is>
      </c>
      <c r="E756" t="inlineStr">
        <is>
          <t>Dix Stadium</t>
        </is>
      </c>
      <c r="F756" t="inlineStr"/>
      <c r="G756" t="inlineStr">
        <is>
          <t>Kent State|Miami (OH)</t>
        </is>
      </c>
    </row>
    <row r="757">
      <c r="A757" t="inlineStr">
        <is>
          <t>Wed Nov 18  TBD</t>
        </is>
      </c>
      <c r="B757" t="n">
        <v>12</v>
      </c>
      <c r="C757" t="inlineStr">
        <is>
          <t>Central Michigan</t>
        </is>
      </c>
      <c r="D757" t="inlineStr">
        <is>
          <t>Buffalo</t>
        </is>
      </c>
      <c r="E757" t="inlineStr">
        <is>
          <t>UB Stadium</t>
        </is>
      </c>
      <c r="F757" t="inlineStr"/>
      <c r="G757" t="inlineStr">
        <is>
          <t>Buffalo|Central Michigan</t>
        </is>
      </c>
    </row>
    <row r="758">
      <c r="A758" t="inlineStr">
        <is>
          <t>Wed Nov 18  TBD</t>
        </is>
      </c>
      <c r="B758" t="n">
        <v>12</v>
      </c>
      <c r="C758" t="inlineStr">
        <is>
          <t>Akron</t>
        </is>
      </c>
      <c r="D758" t="inlineStr">
        <is>
          <t>UMass</t>
        </is>
      </c>
      <c r="E758" t="inlineStr">
        <is>
          <t>Warren McGuirk Alumni Stadium</t>
        </is>
      </c>
      <c r="F758" t="inlineStr"/>
      <c r="G758" t="inlineStr">
        <is>
          <t>Akron|UMass</t>
        </is>
      </c>
    </row>
    <row r="759">
      <c r="A759" t="inlineStr">
        <is>
          <t>Thu Nov 19  7:30 PM ET</t>
        </is>
      </c>
      <c r="B759" t="n">
        <v>12</v>
      </c>
      <c r="C759" t="inlineStr">
        <is>
          <t>Rice</t>
        </is>
      </c>
      <c r="D759" t="inlineStr">
        <is>
          <t>Temple</t>
        </is>
      </c>
      <c r="E759" t="inlineStr">
        <is>
          <t>Lincoln Financial Field</t>
        </is>
      </c>
      <c r="F759" t="inlineStr"/>
      <c r="G759" t="inlineStr">
        <is>
          <t>Rice|Temple</t>
        </is>
      </c>
    </row>
    <row r="760">
      <c r="A760" t="inlineStr">
        <is>
          <t>Fri Nov 20  6:00 PM ET</t>
        </is>
      </c>
      <c r="B760" t="n">
        <v>12</v>
      </c>
      <c r="C760" t="inlineStr">
        <is>
          <t>Iowa State</t>
        </is>
      </c>
      <c r="D760" t="inlineStr">
        <is>
          <t>UCF</t>
        </is>
      </c>
      <c r="E760" t="inlineStr">
        <is>
          <t>FBC Mortgage Stadium</t>
        </is>
      </c>
      <c r="F760" t="inlineStr"/>
      <c r="G760" t="inlineStr">
        <is>
          <t>Iowa State|UCF</t>
        </is>
      </c>
    </row>
    <row r="761">
      <c r="A761" t="inlineStr">
        <is>
          <t>Fri Nov 20  7:30 PM ET</t>
        </is>
      </c>
      <c r="B761" t="n">
        <v>12</v>
      </c>
      <c r="C761" t="inlineStr">
        <is>
          <t>Clemson</t>
        </is>
      </c>
      <c r="D761" t="inlineStr">
        <is>
          <t>Duke</t>
        </is>
      </c>
      <c r="E761" t="inlineStr">
        <is>
          <t>Wallace Wade Stadium</t>
        </is>
      </c>
      <c r="F761" t="inlineStr"/>
      <c r="G761" t="inlineStr">
        <is>
          <t>Clemson|Duke</t>
        </is>
      </c>
    </row>
    <row r="762">
      <c r="A762" t="inlineStr">
        <is>
          <t>Fri Nov 20  7:30 PM ET</t>
        </is>
      </c>
      <c r="B762" t="n">
        <v>12</v>
      </c>
      <c r="C762" t="inlineStr">
        <is>
          <t>Bowling Green</t>
        </is>
      </c>
      <c r="D762" t="inlineStr">
        <is>
          <t>Toledo</t>
        </is>
      </c>
      <c r="E762" t="inlineStr">
        <is>
          <t>Glass Bowl</t>
        </is>
      </c>
      <c r="F762" t="inlineStr"/>
      <c r="G762" t="inlineStr">
        <is>
          <t>Bowling Green|Toledo</t>
        </is>
      </c>
    </row>
    <row r="763">
      <c r="A763" t="inlineStr">
        <is>
          <t>Fri Nov 20  8:00 PM ET</t>
        </is>
      </c>
      <c r="B763" t="n">
        <v>12</v>
      </c>
      <c r="C763" t="inlineStr">
        <is>
          <t>Oregon</t>
        </is>
      </c>
      <c r="D763" t="inlineStr">
        <is>
          <t>Michigan State</t>
        </is>
      </c>
      <c r="E763" t="inlineStr">
        <is>
          <t>Spartan Stadium</t>
        </is>
      </c>
      <c r="F763" t="inlineStr"/>
      <c r="G763" t="inlineStr">
        <is>
          <t>Michigan State|Oregon</t>
        </is>
      </c>
    </row>
    <row r="764">
      <c r="A764" t="inlineStr">
        <is>
          <t>Fri Nov 20  8:00 PM ET</t>
        </is>
      </c>
      <c r="B764" t="n">
        <v>12</v>
      </c>
      <c r="C764" t="inlineStr">
        <is>
          <t>UTEP</t>
        </is>
      </c>
      <c r="D764" t="inlineStr">
        <is>
          <t>Air Force</t>
        </is>
      </c>
      <c r="E764" t="inlineStr">
        <is>
          <t>Falcon Stadium</t>
        </is>
      </c>
      <c r="F764" t="inlineStr"/>
      <c r="G764" t="inlineStr">
        <is>
          <t>Air Force|UTEP</t>
        </is>
      </c>
    </row>
    <row r="765">
      <c r="A765" t="inlineStr">
        <is>
          <t>Sat Nov 21  TBD</t>
        </is>
      </c>
      <c r="B765" t="n">
        <v>12</v>
      </c>
      <c r="C765" t="inlineStr">
        <is>
          <t>Hawaii</t>
        </is>
      </c>
      <c r="D765" t="inlineStr">
        <is>
          <t>Nevada</t>
        </is>
      </c>
      <c r="E765" t="inlineStr">
        <is>
          <t>Mackay Stadium</t>
        </is>
      </c>
      <c r="F765" t="inlineStr"/>
      <c r="G765" t="inlineStr">
        <is>
          <t>Hawaii|Nevada</t>
        </is>
      </c>
    </row>
    <row r="766">
      <c r="A766" t="inlineStr">
        <is>
          <t>Sat Nov 21  TBD</t>
        </is>
      </c>
      <c r="B766" t="n">
        <v>12</v>
      </c>
      <c r="C766" t="inlineStr">
        <is>
          <t>Georgia State</t>
        </is>
      </c>
      <c r="D766" t="inlineStr">
        <is>
          <t>Marshall</t>
        </is>
      </c>
      <c r="E766" t="inlineStr">
        <is>
          <t>Joan C. Edwards Stadium</t>
        </is>
      </c>
      <c r="F766" t="inlineStr"/>
      <c r="G766" t="inlineStr">
        <is>
          <t>Georgia State|Marshall</t>
        </is>
      </c>
    </row>
    <row r="767">
      <c r="A767" t="inlineStr">
        <is>
          <t>Sat Nov 21  TBD</t>
        </is>
      </c>
      <c r="B767" t="n">
        <v>12</v>
      </c>
      <c r="C767" t="inlineStr">
        <is>
          <t>Maryland</t>
        </is>
      </c>
      <c r="D767" t="inlineStr">
        <is>
          <t>USC</t>
        </is>
      </c>
      <c r="E767" t="inlineStr">
        <is>
          <t>Los Angeles Memorial Coliseum</t>
        </is>
      </c>
      <c r="F767" t="inlineStr"/>
      <c r="G767" t="inlineStr">
        <is>
          <t>Maryland|USC</t>
        </is>
      </c>
    </row>
    <row r="768">
      <c r="A768" t="inlineStr">
        <is>
          <t>Sat Nov 21  TBD</t>
        </is>
      </c>
      <c r="B768" t="n">
        <v>12</v>
      </c>
      <c r="C768" t="inlineStr">
        <is>
          <t>NC State</t>
        </is>
      </c>
      <c r="D768" t="inlineStr">
        <is>
          <t>Florida State</t>
        </is>
      </c>
      <c r="E768" t="inlineStr">
        <is>
          <t>Doak Campbell Stadium</t>
        </is>
      </c>
      <c r="F768" t="inlineStr"/>
      <c r="G768" t="inlineStr">
        <is>
          <t>Florida State|NC State</t>
        </is>
      </c>
    </row>
    <row r="769">
      <c r="A769" t="inlineStr">
        <is>
          <t>Sat Nov 21  TBD</t>
        </is>
      </c>
      <c r="B769" t="n">
        <v>12</v>
      </c>
      <c r="C769" t="inlineStr">
        <is>
          <t>Oklahoma State</t>
        </is>
      </c>
      <c r="D769" t="inlineStr">
        <is>
          <t>Arizona State</t>
        </is>
      </c>
      <c r="E769" t="inlineStr">
        <is>
          <t>Mountain America Stadium</t>
        </is>
      </c>
      <c r="F769" t="inlineStr"/>
      <c r="G769" t="inlineStr">
        <is>
          <t>Arizona State|Oklahoma State</t>
        </is>
      </c>
    </row>
    <row r="770">
      <c r="A770" t="inlineStr">
        <is>
          <t>Sat Nov 21  TBD</t>
        </is>
      </c>
      <c r="B770" t="n">
        <v>12</v>
      </c>
      <c r="C770" t="inlineStr">
        <is>
          <t>Houston</t>
        </is>
      </c>
      <c r="D770" t="inlineStr">
        <is>
          <t>West Virginia</t>
        </is>
      </c>
      <c r="E770" t="inlineStr">
        <is>
          <t>Milan Puskar Stadium</t>
        </is>
      </c>
      <c r="F770" t="inlineStr"/>
      <c r="G770" t="inlineStr">
        <is>
          <t>Houston|West Virginia</t>
        </is>
      </c>
    </row>
    <row r="771">
      <c r="A771" t="inlineStr">
        <is>
          <t>Sat Nov 21  TBD</t>
        </is>
      </c>
      <c r="B771" t="n">
        <v>12</v>
      </c>
      <c r="C771" t="inlineStr">
        <is>
          <t>Arizona</t>
        </is>
      </c>
      <c r="D771" t="inlineStr">
        <is>
          <t>Kansas State</t>
        </is>
      </c>
      <c r="E771" t="inlineStr">
        <is>
          <t>Bill Snyder Family Stadium</t>
        </is>
      </c>
      <c r="F771" t="inlineStr"/>
      <c r="G771" t="inlineStr">
        <is>
          <t>Arizona|Kansas State</t>
        </is>
      </c>
    </row>
    <row r="772">
      <c r="A772" t="inlineStr">
        <is>
          <t>Sat Nov 21  TBD</t>
        </is>
      </c>
      <c r="B772" t="n">
        <v>12</v>
      </c>
      <c r="C772" t="inlineStr">
        <is>
          <t>Rutgers</t>
        </is>
      </c>
      <c r="D772" t="inlineStr">
        <is>
          <t>Penn State</t>
        </is>
      </c>
      <c r="E772" t="inlineStr">
        <is>
          <t>Beaver Stadium</t>
        </is>
      </c>
      <c r="F772" t="inlineStr"/>
      <c r="G772" t="inlineStr">
        <is>
          <t>Penn State|Rutgers</t>
        </is>
      </c>
    </row>
    <row r="773">
      <c r="A773" t="inlineStr">
        <is>
          <t>Sat Nov 21  TBD</t>
        </is>
      </c>
      <c r="B773" t="n">
        <v>12</v>
      </c>
      <c r="C773" t="inlineStr">
        <is>
          <t>Vanderbilt</t>
        </is>
      </c>
      <c r="D773" t="inlineStr">
        <is>
          <t>Florida</t>
        </is>
      </c>
      <c r="E773" t="inlineStr">
        <is>
          <t>Ben Hill Griffin Stadium</t>
        </is>
      </c>
      <c r="F773" t="inlineStr"/>
      <c r="G773" t="inlineStr">
        <is>
          <t>Florida|Vanderbilt</t>
        </is>
      </c>
    </row>
    <row r="774">
      <c r="A774" t="inlineStr">
        <is>
          <t>Sat Nov 21  TBD</t>
        </is>
      </c>
      <c r="B774" t="n">
        <v>12</v>
      </c>
      <c r="C774" t="inlineStr">
        <is>
          <t>Texas Tech</t>
        </is>
      </c>
      <c r="D774" t="inlineStr">
        <is>
          <t>Baylor</t>
        </is>
      </c>
      <c r="E774" t="inlineStr">
        <is>
          <t>McLane Stadium</t>
        </is>
      </c>
      <c r="F774" t="inlineStr"/>
      <c r="G774" t="inlineStr">
        <is>
          <t>Baylor|Texas Tech</t>
        </is>
      </c>
    </row>
    <row r="775">
      <c r="A775" t="inlineStr">
        <is>
          <t>Sat Nov 21  TBD</t>
        </is>
      </c>
      <c r="B775" t="n">
        <v>12</v>
      </c>
      <c r="C775" t="inlineStr">
        <is>
          <t>Wisconsin</t>
        </is>
      </c>
      <c r="D775" t="inlineStr">
        <is>
          <t>Purdue</t>
        </is>
      </c>
      <c r="E775" t="inlineStr">
        <is>
          <t>Ross-Ade Stadium</t>
        </is>
      </c>
      <c r="F775" t="inlineStr"/>
      <c r="G775" t="inlineStr">
        <is>
          <t>Purdue|Wisconsin</t>
        </is>
      </c>
    </row>
    <row r="776">
      <c r="A776" t="inlineStr">
        <is>
          <t>Sat Nov 21  TBD</t>
        </is>
      </c>
      <c r="B776" t="n">
        <v>12</v>
      </c>
      <c r="C776" t="inlineStr">
        <is>
          <t>Louisiana-Monroe</t>
        </is>
      </c>
      <c r="D776" t="inlineStr">
        <is>
          <t>Appalachian State</t>
        </is>
      </c>
      <c r="E776" t="inlineStr">
        <is>
          <t>Kidd Brewer Stadium</t>
        </is>
      </c>
      <c r="F776" t="inlineStr"/>
      <c r="G776" t="inlineStr">
        <is>
          <t>Appalachian State|Louisiana-Monroe</t>
        </is>
      </c>
    </row>
    <row r="777">
      <c r="A777" t="inlineStr">
        <is>
          <t>Sat Nov 21  TBD</t>
        </is>
      </c>
      <c r="B777" t="n">
        <v>12</v>
      </c>
      <c r="C777" t="inlineStr">
        <is>
          <t>Ohio State</t>
        </is>
      </c>
      <c r="D777" t="inlineStr">
        <is>
          <t>Nebraska</t>
        </is>
      </c>
      <c r="E777" t="inlineStr">
        <is>
          <t>Memorial Stadium (Lincoln, NE)</t>
        </is>
      </c>
      <c r="F777" t="inlineStr"/>
      <c r="G777" t="inlineStr">
        <is>
          <t>Nebraska|Ohio State</t>
        </is>
      </c>
    </row>
    <row r="778">
      <c r="A778" t="inlineStr">
        <is>
          <t>Sat Nov 21  TBD</t>
        </is>
      </c>
      <c r="B778" t="n">
        <v>12</v>
      </c>
      <c r="C778" t="inlineStr">
        <is>
          <t>BYU</t>
        </is>
      </c>
      <c r="D778" t="inlineStr">
        <is>
          <t>Kansas</t>
        </is>
      </c>
      <c r="E778" t="inlineStr">
        <is>
          <t>Memorial Stadium</t>
        </is>
      </c>
      <c r="F778" t="inlineStr"/>
      <c r="G778" t="inlineStr">
        <is>
          <t>BYU|Kansas</t>
        </is>
      </c>
    </row>
    <row r="779">
      <c r="A779" t="inlineStr">
        <is>
          <t>Sat Nov 21  TBD</t>
        </is>
      </c>
      <c r="B779" t="n">
        <v>12</v>
      </c>
      <c r="C779" t="inlineStr">
        <is>
          <t>LSU</t>
        </is>
      </c>
      <c r="D779" t="inlineStr">
        <is>
          <t>Tennessee</t>
        </is>
      </c>
      <c r="E779" t="inlineStr">
        <is>
          <t>Neyland Stadium</t>
        </is>
      </c>
      <c r="F779" t="inlineStr"/>
      <c r="G779" t="inlineStr">
        <is>
          <t>LSU|Tennessee</t>
        </is>
      </c>
    </row>
    <row r="780">
      <c r="A780" t="inlineStr">
        <is>
          <t>Sat Nov 21  TBD</t>
        </is>
      </c>
      <c r="B780" t="n">
        <v>12</v>
      </c>
      <c r="C780" t="inlineStr">
        <is>
          <t>Georgia</t>
        </is>
      </c>
      <c r="D780" t="inlineStr">
        <is>
          <t>South Carolina</t>
        </is>
      </c>
      <c r="E780" t="inlineStr">
        <is>
          <t>Williams-Brice Stadium</t>
        </is>
      </c>
      <c r="F780" t="inlineStr"/>
      <c r="G780" t="inlineStr">
        <is>
          <t>Georgia|South Carolina</t>
        </is>
      </c>
    </row>
    <row r="781">
      <c r="A781" t="inlineStr">
        <is>
          <t>Sat Nov 21  TBD</t>
        </is>
      </c>
      <c r="B781" t="n">
        <v>12</v>
      </c>
      <c r="C781" t="inlineStr">
        <is>
          <t>Texas A&amp;M</t>
        </is>
      </c>
      <c r="D781" t="inlineStr">
        <is>
          <t>Oklahoma</t>
        </is>
      </c>
      <c r="E781" t="inlineStr">
        <is>
          <t>Memorial Stadium (Norman, OK)</t>
        </is>
      </c>
      <c r="F781" t="inlineStr"/>
      <c r="G781" t="inlineStr">
        <is>
          <t>Oklahoma|Texas A&amp;M</t>
        </is>
      </c>
    </row>
    <row r="782">
      <c r="A782" t="inlineStr">
        <is>
          <t>Sat Nov 21  TBD</t>
        </is>
      </c>
      <c r="B782" t="n">
        <v>12</v>
      </c>
      <c r="C782" t="inlineStr">
        <is>
          <t>Northwestern</t>
        </is>
      </c>
      <c r="D782" t="inlineStr">
        <is>
          <t>Minnesota</t>
        </is>
      </c>
      <c r="E782" t="inlineStr">
        <is>
          <t>Huntington Bank Stadium</t>
        </is>
      </c>
      <c r="F782" t="inlineStr"/>
      <c r="G782" t="inlineStr">
        <is>
          <t>Minnesota|Northwestern</t>
        </is>
      </c>
    </row>
    <row r="783">
      <c r="A783" t="inlineStr">
        <is>
          <t>Sat Nov 21  TBD</t>
        </is>
      </c>
      <c r="B783" t="n">
        <v>12</v>
      </c>
      <c r="C783" t="inlineStr">
        <is>
          <t>UCLA</t>
        </is>
      </c>
      <c r="D783" t="inlineStr">
        <is>
          <t>Michigan</t>
        </is>
      </c>
      <c r="E783" t="inlineStr">
        <is>
          <t>Michigan Stadium</t>
        </is>
      </c>
      <c r="F783" t="inlineStr"/>
      <c r="G783" t="inlineStr">
        <is>
          <t>Michigan|UCLA</t>
        </is>
      </c>
    </row>
    <row r="784">
      <c r="A784" t="inlineStr">
        <is>
          <t>Sat Nov 21  TBD</t>
        </is>
      </c>
      <c r="B784" t="n">
        <v>12</v>
      </c>
      <c r="C784" t="inlineStr">
        <is>
          <t>South Alabama</t>
        </is>
      </c>
      <c r="D784" t="inlineStr">
        <is>
          <t>Southern Miss</t>
        </is>
      </c>
      <c r="E784" t="inlineStr">
        <is>
          <t>M. M. Roberts Stadium</t>
        </is>
      </c>
      <c r="F784" t="inlineStr"/>
      <c r="G784" t="inlineStr">
        <is>
          <t>South Alabama|Southern Miss</t>
        </is>
      </c>
    </row>
    <row r="785">
      <c r="A785" t="inlineStr">
        <is>
          <t>Sat Nov 21  TBD</t>
        </is>
      </c>
      <c r="B785" t="n">
        <v>12</v>
      </c>
      <c r="C785" t="inlineStr">
        <is>
          <t>Virginia Tech</t>
        </is>
      </c>
      <c r="D785" t="inlineStr">
        <is>
          <t>Miami</t>
        </is>
      </c>
      <c r="E785" t="inlineStr">
        <is>
          <t>Hard Rock Stadium</t>
        </is>
      </c>
      <c r="F785" t="inlineStr"/>
      <c r="G785" t="inlineStr">
        <is>
          <t>Miami|Virginia Tech</t>
        </is>
      </c>
    </row>
    <row r="786">
      <c r="A786" t="inlineStr">
        <is>
          <t>Sat Nov 21  TBD</t>
        </is>
      </c>
      <c r="B786" t="n">
        <v>12</v>
      </c>
      <c r="C786" t="inlineStr">
        <is>
          <t>Indiana</t>
        </is>
      </c>
      <c r="D786" t="inlineStr">
        <is>
          <t>Washington</t>
        </is>
      </c>
      <c r="E786" t="inlineStr">
        <is>
          <t>Husky Stadium</t>
        </is>
      </c>
      <c r="F786" t="inlineStr"/>
      <c r="G786" t="inlineStr">
        <is>
          <t>Indiana|Washington</t>
        </is>
      </c>
    </row>
    <row r="787">
      <c r="A787" t="inlineStr">
        <is>
          <t>Sat Nov 21  TBD</t>
        </is>
      </c>
      <c r="B787" t="n">
        <v>12</v>
      </c>
      <c r="C787" t="inlineStr">
        <is>
          <t>Utah</t>
        </is>
      </c>
      <c r="D787" t="inlineStr">
        <is>
          <t>TCU</t>
        </is>
      </c>
      <c r="E787" t="inlineStr">
        <is>
          <t>Amon G. Carter Stadium</t>
        </is>
      </c>
      <c r="F787" t="inlineStr"/>
      <c r="G787" t="inlineStr">
        <is>
          <t>TCU|Utah</t>
        </is>
      </c>
    </row>
    <row r="788">
      <c r="A788" t="inlineStr">
        <is>
          <t>Sat Nov 21  TBD</t>
        </is>
      </c>
      <c r="B788" t="n">
        <v>12</v>
      </c>
      <c r="C788" t="inlineStr">
        <is>
          <t>Charlotte</t>
        </is>
      </c>
      <c r="D788" t="inlineStr">
        <is>
          <t>Tulsa</t>
        </is>
      </c>
      <c r="E788" t="inlineStr">
        <is>
          <t>Chapman Stadium</t>
        </is>
      </c>
      <c r="F788" t="inlineStr"/>
      <c r="G788" t="inlineStr">
        <is>
          <t>Charlotte|Tulsa</t>
        </is>
      </c>
    </row>
    <row r="789">
      <c r="A789" t="inlineStr">
        <is>
          <t>Sat Nov 21  TBD</t>
        </is>
      </c>
      <c r="B789" t="n">
        <v>12</v>
      </c>
      <c r="C789" t="inlineStr">
        <is>
          <t>North Texas</t>
        </is>
      </c>
      <c r="D789" t="inlineStr">
        <is>
          <t>Tulane</t>
        </is>
      </c>
      <c r="E789" t="inlineStr">
        <is>
          <t>Yulman Stadium</t>
        </is>
      </c>
      <c r="F789" t="inlineStr"/>
      <c r="G789" t="inlineStr">
        <is>
          <t>North Texas|Tulane</t>
        </is>
      </c>
    </row>
    <row r="790">
      <c r="A790" t="inlineStr">
        <is>
          <t>Sat Nov 21  TBD</t>
        </is>
      </c>
      <c r="B790" t="n">
        <v>12</v>
      </c>
      <c r="C790" t="inlineStr">
        <is>
          <t>UTSA</t>
        </is>
      </c>
      <c r="D790" t="inlineStr">
        <is>
          <t>UAB</t>
        </is>
      </c>
      <c r="E790" t="inlineStr">
        <is>
          <t>Protective Stadium</t>
        </is>
      </c>
      <c r="F790" t="inlineStr"/>
      <c r="G790" t="inlineStr">
        <is>
          <t>UAB|UTSA</t>
        </is>
      </c>
    </row>
    <row r="791">
      <c r="A791" t="inlineStr">
        <is>
          <t>Sat Nov 21  TBD</t>
        </is>
      </c>
      <c r="B791" t="n">
        <v>12</v>
      </c>
      <c r="C791" t="inlineStr">
        <is>
          <t>South Florida</t>
        </is>
      </c>
      <c r="D791" t="inlineStr">
        <is>
          <t>Florida Atlantic</t>
        </is>
      </c>
      <c r="E791" t="inlineStr">
        <is>
          <t>FAU Stadium</t>
        </is>
      </c>
      <c r="F791" t="inlineStr"/>
      <c r="G791" t="inlineStr">
        <is>
          <t>Florida Atlantic|South Florida</t>
        </is>
      </c>
    </row>
    <row r="792">
      <c r="A792" t="inlineStr">
        <is>
          <t>Sat Nov 21  TBD</t>
        </is>
      </c>
      <c r="B792" t="n">
        <v>12</v>
      </c>
      <c r="C792" t="inlineStr">
        <is>
          <t>Georgia Southern</t>
        </is>
      </c>
      <c r="D792" t="inlineStr">
        <is>
          <t>Troy</t>
        </is>
      </c>
      <c r="E792" t="inlineStr">
        <is>
          <t>Veterans Memorial Stadium (AL)</t>
        </is>
      </c>
      <c r="F792" t="inlineStr"/>
      <c r="G792" t="inlineStr">
        <is>
          <t>Georgia Southern|Troy</t>
        </is>
      </c>
    </row>
    <row r="793">
      <c r="A793" t="inlineStr">
        <is>
          <t>Sat Nov 21  TBD</t>
        </is>
      </c>
      <c r="B793" t="n">
        <v>12</v>
      </c>
      <c r="C793" t="inlineStr">
        <is>
          <t>Wake Forest</t>
        </is>
      </c>
      <c r="D793" t="inlineStr">
        <is>
          <t>Georgia Tech</t>
        </is>
      </c>
      <c r="E793" t="inlineStr">
        <is>
          <t>Bobby Dodd Stadium</t>
        </is>
      </c>
      <c r="F793" t="inlineStr"/>
      <c r="G793" t="inlineStr">
        <is>
          <t>Georgia Tech|Wake Forest</t>
        </is>
      </c>
    </row>
    <row r="794">
      <c r="A794" t="inlineStr">
        <is>
          <t>Sat Nov 21  TBD</t>
        </is>
      </c>
      <c r="B794" t="n">
        <v>12</v>
      </c>
      <c r="C794" t="inlineStr">
        <is>
          <t>Coastal Carolina</t>
        </is>
      </c>
      <c r="D794" t="inlineStr">
        <is>
          <t>Louisiana</t>
        </is>
      </c>
      <c r="E794" t="inlineStr">
        <is>
          <t>Cajun Field</t>
        </is>
      </c>
      <c r="F794" t="inlineStr"/>
      <c r="G794" t="inlineStr">
        <is>
          <t>Coastal Carolina|Louisiana</t>
        </is>
      </c>
    </row>
    <row r="795">
      <c r="A795" t="inlineStr">
        <is>
          <t>Sat Nov 21  TBD</t>
        </is>
      </c>
      <c r="B795" t="n">
        <v>12</v>
      </c>
      <c r="C795" t="inlineStr">
        <is>
          <t>Colorado</t>
        </is>
      </c>
      <c r="D795" t="inlineStr">
        <is>
          <t>Cincinnati</t>
        </is>
      </c>
      <c r="E795" t="inlineStr">
        <is>
          <t>Nippert Stadium</t>
        </is>
      </c>
      <c r="F795" t="inlineStr"/>
      <c r="G795" t="inlineStr">
        <is>
          <t>Cincinnati|Colorado</t>
        </is>
      </c>
    </row>
    <row r="796">
      <c r="A796" t="inlineStr">
        <is>
          <t>Sat Nov 21  TBD</t>
        </is>
      </c>
      <c r="B796" t="n">
        <v>12</v>
      </c>
      <c r="C796" t="inlineStr">
        <is>
          <t>North Carolina</t>
        </is>
      </c>
      <c r="D796" t="inlineStr">
        <is>
          <t>Virginia</t>
        </is>
      </c>
      <c r="E796" t="inlineStr">
        <is>
          <t>Scott Stadium</t>
        </is>
      </c>
      <c r="F796" t="inlineStr"/>
      <c r="G796" t="inlineStr">
        <is>
          <t>North Carolina|Virginia</t>
        </is>
      </c>
    </row>
    <row r="797">
      <c r="A797" t="inlineStr">
        <is>
          <t>Sat Nov 21  TBD</t>
        </is>
      </c>
      <c r="B797" t="n">
        <v>12</v>
      </c>
      <c r="C797" t="inlineStr">
        <is>
          <t>Stanford</t>
        </is>
      </c>
      <c r="D797" t="inlineStr">
        <is>
          <t>California</t>
        </is>
      </c>
      <c r="E797" t="inlineStr">
        <is>
          <t>California Memorial Stadium</t>
        </is>
      </c>
      <c r="F797" t="inlineStr"/>
      <c r="G797" t="inlineStr">
        <is>
          <t>California|Stanford</t>
        </is>
      </c>
    </row>
    <row r="798">
      <c r="A798" t="inlineStr">
        <is>
          <t>Sat Nov 21  TBD</t>
        </is>
      </c>
      <c r="B798" t="n">
        <v>12</v>
      </c>
      <c r="C798" t="inlineStr">
        <is>
          <t>Kentucky</t>
        </is>
      </c>
      <c r="D798" t="inlineStr">
        <is>
          <t>Missouri</t>
        </is>
      </c>
      <c r="E798" t="inlineStr">
        <is>
          <t>Memorial Stadium</t>
        </is>
      </c>
      <c r="F798" t="inlineStr"/>
      <c r="G798" t="inlineStr">
        <is>
          <t>Kentucky|Missouri</t>
        </is>
      </c>
    </row>
    <row r="799">
      <c r="A799" t="inlineStr">
        <is>
          <t>Sat Nov 21  TBD</t>
        </is>
      </c>
      <c r="B799" t="n">
        <v>12</v>
      </c>
      <c r="C799" t="inlineStr">
        <is>
          <t>Pittsburgh</t>
        </is>
      </c>
      <c r="D799" t="inlineStr">
        <is>
          <t>Louisville</t>
        </is>
      </c>
      <c r="E799" t="inlineStr">
        <is>
          <t>L&amp;N Federal Credit Union Stadium</t>
        </is>
      </c>
      <c r="F799" t="inlineStr"/>
      <c r="G799" t="inlineStr">
        <is>
          <t>Louisville|Pittsburgh</t>
        </is>
      </c>
    </row>
    <row r="800">
      <c r="A800" t="inlineStr">
        <is>
          <t>Sat Nov 21  TBD</t>
        </is>
      </c>
      <c r="B800" t="n">
        <v>12</v>
      </c>
      <c r="C800" t="inlineStr">
        <is>
          <t>Iowa</t>
        </is>
      </c>
      <c r="D800" t="inlineStr">
        <is>
          <t>Illinois</t>
        </is>
      </c>
      <c r="E800" t="inlineStr">
        <is>
          <t>Memorial Stadium (Champaign, IL)</t>
        </is>
      </c>
      <c r="F800" t="inlineStr"/>
      <c r="G800" t="inlineStr">
        <is>
          <t>Illinois|Iowa</t>
        </is>
      </c>
    </row>
    <row r="801">
      <c r="A801" t="inlineStr">
        <is>
          <t>Sat Nov 21  TBD</t>
        </is>
      </c>
      <c r="B801" t="n">
        <v>12</v>
      </c>
      <c r="C801" t="inlineStr">
        <is>
          <t>Arkansas State</t>
        </is>
      </c>
      <c r="D801" t="inlineStr">
        <is>
          <t>Louisiana Tech</t>
        </is>
      </c>
      <c r="E801" t="inlineStr">
        <is>
          <t>Joe Aillet Stadium</t>
        </is>
      </c>
      <c r="F801" t="inlineStr"/>
      <c r="G801" t="inlineStr">
        <is>
          <t>Arkansas State|Louisiana Tech</t>
        </is>
      </c>
    </row>
    <row r="802">
      <c r="A802" t="inlineStr">
        <is>
          <t>Sat Nov 21  TBD</t>
        </is>
      </c>
      <c r="B802" t="n">
        <v>12</v>
      </c>
      <c r="C802" t="inlineStr">
        <is>
          <t>Syracuse</t>
        </is>
      </c>
      <c r="D802" t="inlineStr">
        <is>
          <t>Boston College</t>
        </is>
      </c>
      <c r="E802" t="inlineStr">
        <is>
          <t>Alumni Stadium (Chestnut Hill, MA)</t>
        </is>
      </c>
      <c r="F802" t="inlineStr"/>
      <c r="G802" t="inlineStr">
        <is>
          <t>Boston College|Syracuse</t>
        </is>
      </c>
    </row>
    <row r="803">
      <c r="A803" t="inlineStr">
        <is>
          <t>Sat Nov 21  TBD</t>
        </is>
      </c>
      <c r="B803" t="n">
        <v>12</v>
      </c>
      <c r="C803" t="inlineStr">
        <is>
          <t>Arkansas</t>
        </is>
      </c>
      <c r="D803" t="inlineStr">
        <is>
          <t>Texas</t>
        </is>
      </c>
      <c r="E803" t="inlineStr">
        <is>
          <t>DKR-Texas Memorial Stadium</t>
        </is>
      </c>
      <c r="F803" t="inlineStr"/>
      <c r="G803" t="inlineStr">
        <is>
          <t>Arkansas|Texas</t>
        </is>
      </c>
    </row>
    <row r="804">
      <c r="A804" t="inlineStr">
        <is>
          <t>Sat Nov 21  12:00 PM ET</t>
        </is>
      </c>
      <c r="B804" t="n">
        <v>12</v>
      </c>
      <c r="C804" t="inlineStr">
        <is>
          <t>Memphis</t>
        </is>
      </c>
      <c r="D804" t="inlineStr">
        <is>
          <t>Navy</t>
        </is>
      </c>
      <c r="E804" t="inlineStr">
        <is>
          <t>Navy-Marine Corps Memorial Stadium</t>
        </is>
      </c>
      <c r="F804" t="inlineStr"/>
      <c r="G804" t="inlineStr">
        <is>
          <t>Memphis|Navy</t>
        </is>
      </c>
    </row>
    <row r="805">
      <c r="A805" t="inlineStr">
        <is>
          <t>Sat Nov 21  12:00 PM ET</t>
        </is>
      </c>
      <c r="B805" t="n">
        <v>12</v>
      </c>
      <c r="C805" t="inlineStr">
        <is>
          <t>Wofford</t>
        </is>
      </c>
      <c r="D805" t="inlineStr">
        <is>
          <t>Ole Miss</t>
        </is>
      </c>
      <c r="E805" t="inlineStr">
        <is>
          <t>Vaught-Hemingway Stadium</t>
        </is>
      </c>
      <c r="F805" t="inlineStr"/>
      <c r="G805" t="inlineStr">
        <is>
          <t>Ole Miss|Wofford</t>
        </is>
      </c>
    </row>
    <row r="806">
      <c r="A806" t="inlineStr">
        <is>
          <t>Sat Nov 21  12:00 PM ET</t>
        </is>
      </c>
      <c r="B806" t="n">
        <v>12</v>
      </c>
      <c r="C806" t="inlineStr">
        <is>
          <t>East Carolina</t>
        </is>
      </c>
      <c r="D806" t="inlineStr">
        <is>
          <t>Army</t>
        </is>
      </c>
      <c r="E806" t="inlineStr">
        <is>
          <t>Michie Stadium</t>
        </is>
      </c>
      <c r="F806" t="inlineStr"/>
      <c r="G806" t="inlineStr">
        <is>
          <t>Army|East Carolina</t>
        </is>
      </c>
    </row>
    <row r="807">
      <c r="A807" t="inlineStr">
        <is>
          <t>Sat Nov 21  1:00 PM ET</t>
        </is>
      </c>
      <c r="B807" t="n">
        <v>12</v>
      </c>
      <c r="C807" t="inlineStr">
        <is>
          <t>Western Kentucky</t>
        </is>
      </c>
      <c r="D807" t="inlineStr">
        <is>
          <t>Liberty</t>
        </is>
      </c>
      <c r="E807" t="inlineStr">
        <is>
          <t>Williams Stadium (VA)</t>
        </is>
      </c>
      <c r="F807" t="inlineStr"/>
      <c r="G807" t="inlineStr">
        <is>
          <t>Liberty|Western Kentucky</t>
        </is>
      </c>
    </row>
    <row r="808">
      <c r="A808" t="inlineStr">
        <is>
          <t>Sat Nov 21  1:00 PM ET</t>
        </is>
      </c>
      <c r="B808" t="n">
        <v>12</v>
      </c>
      <c r="C808" t="inlineStr">
        <is>
          <t>Tennessee Tech</t>
        </is>
      </c>
      <c r="D808" t="inlineStr">
        <is>
          <t>Mississippi State</t>
        </is>
      </c>
      <c r="E808" t="inlineStr">
        <is>
          <t>Davis Wade Stadium</t>
        </is>
      </c>
      <c r="F808" t="inlineStr"/>
      <c r="G808" t="inlineStr">
        <is>
          <t>Mississippi State|Tennessee Tech</t>
        </is>
      </c>
    </row>
    <row r="809">
      <c r="A809" t="inlineStr">
        <is>
          <t>Sat Nov 21  2:00 PM ET</t>
        </is>
      </c>
      <c r="B809" t="n">
        <v>12</v>
      </c>
      <c r="C809" t="inlineStr">
        <is>
          <t>Middle Tennessee</t>
        </is>
      </c>
      <c r="D809" t="inlineStr">
        <is>
          <t>Sam Houston</t>
        </is>
      </c>
      <c r="E809" t="inlineStr">
        <is>
          <t>Elliott T. Bowers Stadium</t>
        </is>
      </c>
      <c r="F809" t="inlineStr"/>
      <c r="G809" t="inlineStr">
        <is>
          <t>Middle Tennessee|Sam Houston</t>
        </is>
      </c>
    </row>
    <row r="810">
      <c r="A810" t="inlineStr">
        <is>
          <t>Sat Nov 21  2:00 PM ET</t>
        </is>
      </c>
      <c r="B810" t="n">
        <v>12</v>
      </c>
      <c r="C810" t="inlineStr">
        <is>
          <t>Missouri State</t>
        </is>
      </c>
      <c r="D810" t="inlineStr">
        <is>
          <t>Jacksonville State</t>
        </is>
      </c>
      <c r="E810" t="inlineStr">
        <is>
          <t>AmFirst Stadium</t>
        </is>
      </c>
      <c r="F810" t="inlineStr"/>
      <c r="G810" t="inlineStr">
        <is>
          <t>Jacksonville State|Missouri State</t>
        </is>
      </c>
    </row>
    <row r="811">
      <c r="A811" t="inlineStr">
        <is>
          <t>Sat Nov 21  2:00 PM ET</t>
        </is>
      </c>
      <c r="B811" t="n">
        <v>12</v>
      </c>
      <c r="C811" t="inlineStr">
        <is>
          <t>Chattanooga</t>
        </is>
      </c>
      <c r="D811" t="inlineStr">
        <is>
          <t>Alabama</t>
        </is>
      </c>
      <c r="E811" t="inlineStr">
        <is>
          <t>Bryant-Denny Stadium</t>
        </is>
      </c>
      <c r="F811" t="inlineStr"/>
      <c r="G811" t="inlineStr">
        <is>
          <t>Alabama|Chattanooga</t>
        </is>
      </c>
    </row>
    <row r="812">
      <c r="A812" t="inlineStr">
        <is>
          <t>Sat Nov 21  3:00 PM ET</t>
        </is>
      </c>
      <c r="B812" t="n">
        <v>12</v>
      </c>
      <c r="C812" t="inlineStr">
        <is>
          <t>Florida International</t>
        </is>
      </c>
      <c r="D812" t="inlineStr">
        <is>
          <t>Kennesaw State</t>
        </is>
      </c>
      <c r="E812" t="inlineStr">
        <is>
          <t>Fifth Third Stadium</t>
        </is>
      </c>
      <c r="F812" t="inlineStr"/>
      <c r="G812" t="inlineStr">
        <is>
          <t>Florida International|Kennesaw State</t>
        </is>
      </c>
    </row>
    <row r="813">
      <c r="A813" t="inlineStr">
        <is>
          <t>Sat Nov 21  3:00 PM ET</t>
        </is>
      </c>
      <c r="B813" t="n">
        <v>12</v>
      </c>
      <c r="C813" t="inlineStr">
        <is>
          <t>Delaware</t>
        </is>
      </c>
      <c r="D813" t="inlineStr">
        <is>
          <t>New Mexico State</t>
        </is>
      </c>
      <c r="E813" t="inlineStr">
        <is>
          <t>Aggie Memorial Stadium</t>
        </is>
      </c>
      <c r="F813" t="inlineStr"/>
      <c r="G813" t="inlineStr">
        <is>
          <t>Delaware|New Mexico State</t>
        </is>
      </c>
    </row>
    <row r="814">
      <c r="A814" t="inlineStr">
        <is>
          <t>Sat Nov 21  3:30 PM ET</t>
        </is>
      </c>
      <c r="B814" t="n">
        <v>12</v>
      </c>
      <c r="C814" t="inlineStr">
        <is>
          <t>Old Dominion</t>
        </is>
      </c>
      <c r="D814" t="inlineStr">
        <is>
          <t>UConn</t>
        </is>
      </c>
      <c r="E814" t="inlineStr">
        <is>
          <t>Pratt &amp; Whitney Stadium</t>
        </is>
      </c>
      <c r="F814" t="inlineStr"/>
      <c r="G814" t="inlineStr">
        <is>
          <t>Old Dominion|UConn</t>
        </is>
      </c>
    </row>
    <row r="815">
      <c r="A815" t="inlineStr">
        <is>
          <t>Sat Nov 21  3:30 PM ET</t>
        </is>
      </c>
      <c r="B815" t="n">
        <v>12</v>
      </c>
      <c r="C815" t="inlineStr">
        <is>
          <t>Samford</t>
        </is>
      </c>
      <c r="D815" t="inlineStr">
        <is>
          <t>Auburn</t>
        </is>
      </c>
      <c r="E815" t="inlineStr">
        <is>
          <t>Jordan-Hare Stadium</t>
        </is>
      </c>
      <c r="F815" t="inlineStr"/>
      <c r="G815" t="inlineStr">
        <is>
          <t>Auburn|Samford</t>
        </is>
      </c>
    </row>
    <row r="816">
      <c r="A816" t="inlineStr">
        <is>
          <t>Sat Nov 21  4:00 PM ET</t>
        </is>
      </c>
      <c r="B816" t="n">
        <v>12</v>
      </c>
      <c r="C816" t="inlineStr">
        <is>
          <t>Northern Illinois</t>
        </is>
      </c>
      <c r="D816" t="inlineStr">
        <is>
          <t>North Dakota State</t>
        </is>
      </c>
      <c r="E816" t="inlineStr">
        <is>
          <t>Fargodome</t>
        </is>
      </c>
      <c r="F816" t="inlineStr"/>
      <c r="G816" t="inlineStr">
        <is>
          <t>North Dakota State|Northern Illinois</t>
        </is>
      </c>
    </row>
    <row r="817">
      <c r="A817" t="inlineStr">
        <is>
          <t>Sat Nov 21  6:00 PM ET</t>
        </is>
      </c>
      <c r="B817" t="n">
        <v>12</v>
      </c>
      <c r="C817" t="inlineStr">
        <is>
          <t>Washington State</t>
        </is>
      </c>
      <c r="D817" t="inlineStr">
        <is>
          <t>Texas State</t>
        </is>
      </c>
      <c r="E817" t="inlineStr">
        <is>
          <t>Bobcat Stadium (TX)</t>
        </is>
      </c>
      <c r="F817" t="inlineStr"/>
      <c r="G817" t="inlineStr">
        <is>
          <t>Texas State|Washington State</t>
        </is>
      </c>
    </row>
    <row r="818">
      <c r="A818" t="inlineStr">
        <is>
          <t>Sat Nov 21  7:00 PM ET</t>
        </is>
      </c>
      <c r="B818" t="n">
        <v>12</v>
      </c>
      <c r="C818" t="inlineStr">
        <is>
          <t>UNLV</t>
        </is>
      </c>
      <c r="D818" t="inlineStr">
        <is>
          <t>San Jose State</t>
        </is>
      </c>
      <c r="E818" t="inlineStr">
        <is>
          <t>CEFCU Stadium</t>
        </is>
      </c>
      <c r="F818" t="inlineStr"/>
      <c r="G818" t="inlineStr">
        <is>
          <t>San Jose State|UNLV</t>
        </is>
      </c>
    </row>
    <row r="819">
      <c r="A819" t="inlineStr">
        <is>
          <t>Sat Nov 21  7:30 PM ET</t>
        </is>
      </c>
      <c r="B819" t="n">
        <v>12</v>
      </c>
      <c r="C819" t="inlineStr">
        <is>
          <t>SMU</t>
        </is>
      </c>
      <c r="D819" t="inlineStr">
        <is>
          <t>Notre Dame</t>
        </is>
      </c>
      <c r="E819" t="inlineStr">
        <is>
          <t>Notre Dame Stadium</t>
        </is>
      </c>
      <c r="F819" t="inlineStr"/>
      <c r="G819" t="inlineStr">
        <is>
          <t>Notre Dame|SMU</t>
        </is>
      </c>
    </row>
    <row r="820">
      <c r="A820" t="inlineStr">
        <is>
          <t>Sat Nov 21  7:30 PM ET</t>
        </is>
      </c>
      <c r="B820" t="n">
        <v>12</v>
      </c>
      <c r="C820" t="inlineStr">
        <is>
          <t>Colorado State</t>
        </is>
      </c>
      <c r="D820" t="inlineStr">
        <is>
          <t>Fresno State</t>
        </is>
      </c>
      <c r="E820" t="inlineStr">
        <is>
          <t>Valley Children's Stadium</t>
        </is>
      </c>
      <c r="F820" t="inlineStr"/>
      <c r="G820" t="inlineStr">
        <is>
          <t>Colorado State|Fresno State</t>
        </is>
      </c>
    </row>
    <row r="821">
      <c r="A821" t="inlineStr">
        <is>
          <t>Sat Nov 21  9:00 PM ET</t>
        </is>
      </c>
      <c r="B821" t="n">
        <v>12</v>
      </c>
      <c r="C821" t="inlineStr">
        <is>
          <t>New Mexico</t>
        </is>
      </c>
      <c r="D821" t="inlineStr">
        <is>
          <t>Wyoming</t>
        </is>
      </c>
      <c r="E821" t="inlineStr">
        <is>
          <t>War Memorial Stadium</t>
        </is>
      </c>
      <c r="F821" t="inlineStr"/>
      <c r="G821" t="inlineStr">
        <is>
          <t>New Mexico|Wyoming</t>
        </is>
      </c>
    </row>
    <row r="822">
      <c r="A822" t="inlineStr">
        <is>
          <t>Sat Nov 21  9:30 PM ET</t>
        </is>
      </c>
      <c r="B822" t="n">
        <v>12</v>
      </c>
      <c r="C822" t="inlineStr">
        <is>
          <t>San Diego State</t>
        </is>
      </c>
      <c r="D822" t="inlineStr">
        <is>
          <t>Boise State</t>
        </is>
      </c>
      <c r="E822" t="inlineStr">
        <is>
          <t>Albertsons Stadium</t>
        </is>
      </c>
      <c r="F822" t="inlineStr"/>
      <c r="G822" t="inlineStr">
        <is>
          <t>Boise State|San Diego State</t>
        </is>
      </c>
    </row>
    <row r="823">
      <c r="A823" t="inlineStr">
        <is>
          <t>Sat Nov 21  10:30 PM ET</t>
        </is>
      </c>
      <c r="B823" t="n">
        <v>12</v>
      </c>
      <c r="C823" t="inlineStr">
        <is>
          <t>Utah State</t>
        </is>
      </c>
      <c r="D823" t="inlineStr">
        <is>
          <t>Oregon State</t>
        </is>
      </c>
      <c r="E823" t="inlineStr">
        <is>
          <t>Reser Stadium</t>
        </is>
      </c>
      <c r="F823" t="inlineStr"/>
      <c r="G823" t="inlineStr">
        <is>
          <t>Oregon State|Utah State</t>
        </is>
      </c>
    </row>
    <row r="824">
      <c r="A824" t="inlineStr">
        <is>
          <t>Tue Nov 24  TBD</t>
        </is>
      </c>
      <c r="B824" t="n">
        <v>13</v>
      </c>
      <c r="C824" t="inlineStr">
        <is>
          <t>Miami (OH)</t>
        </is>
      </c>
      <c r="D824" t="inlineStr">
        <is>
          <t>Western Michigan</t>
        </is>
      </c>
      <c r="E824" t="inlineStr">
        <is>
          <t>Waldo Stadium</t>
        </is>
      </c>
      <c r="F824" t="inlineStr"/>
      <c r="G824" t="inlineStr">
        <is>
          <t>Miami (OH)|Western Michigan</t>
        </is>
      </c>
    </row>
    <row r="825">
      <c r="A825" t="inlineStr">
        <is>
          <t>Tue Nov 24  7:00 PM ET</t>
        </is>
      </c>
      <c r="B825" t="n">
        <v>13</v>
      </c>
      <c r="C825" t="inlineStr">
        <is>
          <t>Kent State</t>
        </is>
      </c>
      <c r="D825" t="inlineStr">
        <is>
          <t>Eastern Michigan</t>
        </is>
      </c>
      <c r="E825" t="inlineStr">
        <is>
          <t>Rynearson Stadium</t>
        </is>
      </c>
      <c r="F825" t="inlineStr"/>
      <c r="G825" t="inlineStr">
        <is>
          <t>Eastern Michigan|Kent State</t>
        </is>
      </c>
    </row>
    <row r="826">
      <c r="A826" t="inlineStr">
        <is>
          <t>Thu Nov 26  8:00 PM ET</t>
        </is>
      </c>
      <c r="B826" t="n">
        <v>13</v>
      </c>
      <c r="C826" t="inlineStr">
        <is>
          <t>TCU</t>
        </is>
      </c>
      <c r="D826" t="inlineStr">
        <is>
          <t>Texas Tech</t>
        </is>
      </c>
      <c r="E826" t="inlineStr">
        <is>
          <t>Jones AT&amp;T Stadium</t>
        </is>
      </c>
      <c r="F826" t="inlineStr"/>
      <c r="G826" t="inlineStr">
        <is>
          <t>TCU|Texas Tech</t>
        </is>
      </c>
    </row>
    <row r="827">
      <c r="A827" t="inlineStr">
        <is>
          <t>Fri Nov 27  TBD</t>
        </is>
      </c>
      <c r="B827" t="n">
        <v>13</v>
      </c>
      <c r="C827" t="inlineStr">
        <is>
          <t>Tulane</t>
        </is>
      </c>
      <c r="D827" t="inlineStr">
        <is>
          <t>South Florida</t>
        </is>
      </c>
      <c r="E827" t="inlineStr">
        <is>
          <t>Raymond James Stadium</t>
        </is>
      </c>
      <c r="F827" t="inlineStr"/>
      <c r="G827" t="inlineStr">
        <is>
          <t>South Florida|Tulane</t>
        </is>
      </c>
    </row>
    <row r="828">
      <c r="A828" t="inlineStr">
        <is>
          <t>Fri Nov 27  TBD</t>
        </is>
      </c>
      <c r="B828" t="n">
        <v>13</v>
      </c>
      <c r="C828" t="inlineStr">
        <is>
          <t>Florida Atlantic</t>
        </is>
      </c>
      <c r="D828" t="inlineStr">
        <is>
          <t>East Carolina</t>
        </is>
      </c>
      <c r="E828" t="inlineStr">
        <is>
          <t>Dowdy-Ficklen Stadium</t>
        </is>
      </c>
      <c r="F828" t="inlineStr"/>
      <c r="G828" t="inlineStr">
        <is>
          <t>East Carolina|Florida Atlantic</t>
        </is>
      </c>
    </row>
    <row r="829">
      <c r="A829" t="inlineStr">
        <is>
          <t>Fri Nov 27  TBD</t>
        </is>
      </c>
      <c r="B829" t="n">
        <v>13</v>
      </c>
      <c r="C829" t="inlineStr">
        <is>
          <t>Temple</t>
        </is>
      </c>
      <c r="D829" t="inlineStr">
        <is>
          <t>Memphis</t>
        </is>
      </c>
      <c r="E829" t="inlineStr">
        <is>
          <t>Simmons Bank Liberty Stadium</t>
        </is>
      </c>
      <c r="F829" t="inlineStr"/>
      <c r="G829" t="inlineStr">
        <is>
          <t>Memphis|Temple</t>
        </is>
      </c>
    </row>
    <row r="830">
      <c r="A830" t="inlineStr">
        <is>
          <t>Fri Nov 27  12:00 PM ET</t>
        </is>
      </c>
      <c r="B830" t="n">
        <v>13</v>
      </c>
      <c r="C830" t="inlineStr">
        <is>
          <t>Buffalo</t>
        </is>
      </c>
      <c r="D830" t="inlineStr">
        <is>
          <t>Akron</t>
        </is>
      </c>
      <c r="E830" t="inlineStr">
        <is>
          <t>InfoCision Stadium</t>
        </is>
      </c>
      <c r="F830" t="inlineStr"/>
      <c r="G830" t="inlineStr">
        <is>
          <t>Akron|Buffalo</t>
        </is>
      </c>
    </row>
    <row r="831">
      <c r="A831" t="inlineStr">
        <is>
          <t>Fri Nov 27  12:00 PM ET</t>
        </is>
      </c>
      <c r="B831" t="n">
        <v>13</v>
      </c>
      <c r="C831" t="inlineStr">
        <is>
          <t>Toledo</t>
        </is>
      </c>
      <c r="D831" t="inlineStr">
        <is>
          <t>Ohio</t>
        </is>
      </c>
      <c r="E831" t="inlineStr">
        <is>
          <t>Peden Stadium</t>
        </is>
      </c>
      <c r="F831" t="inlineStr"/>
      <c r="G831" t="inlineStr">
        <is>
          <t>Ohio|Toledo</t>
        </is>
      </c>
    </row>
    <row r="832">
      <c r="A832" t="inlineStr">
        <is>
          <t>Fri Nov 27  12:00 PM ET</t>
        </is>
      </c>
      <c r="B832" t="n">
        <v>13</v>
      </c>
      <c r="C832" t="inlineStr">
        <is>
          <t>Mississippi State</t>
        </is>
      </c>
      <c r="D832" t="inlineStr">
        <is>
          <t>Ole Miss</t>
        </is>
      </c>
      <c r="E832" t="inlineStr">
        <is>
          <t>Vaught-Hemingway Stadium</t>
        </is>
      </c>
      <c r="F832" t="inlineStr"/>
      <c r="G832" t="inlineStr">
        <is>
          <t>Mississippi State|Ole Miss</t>
        </is>
      </c>
    </row>
    <row r="833">
      <c r="A833" t="inlineStr">
        <is>
          <t>Fri Nov 27  12:00 PM ET</t>
        </is>
      </c>
      <c r="B833" t="n">
        <v>13</v>
      </c>
      <c r="C833" t="inlineStr">
        <is>
          <t>Nebraska</t>
        </is>
      </c>
      <c r="D833" t="inlineStr">
        <is>
          <t>Iowa</t>
        </is>
      </c>
      <c r="E833" t="inlineStr">
        <is>
          <t>Kinnick Stadium</t>
        </is>
      </c>
      <c r="F833" t="inlineStr"/>
      <c r="G833" t="inlineStr">
        <is>
          <t>Iowa|Nebraska</t>
        </is>
      </c>
    </row>
    <row r="834">
      <c r="A834" t="inlineStr">
        <is>
          <t>Fri Nov 27  3:00 PM ET</t>
        </is>
      </c>
      <c r="B834" t="n">
        <v>13</v>
      </c>
      <c r="C834" t="inlineStr">
        <is>
          <t>Appalachian State</t>
        </is>
      </c>
      <c r="D834" t="inlineStr">
        <is>
          <t>South Alabama</t>
        </is>
      </c>
      <c r="E834" t="inlineStr">
        <is>
          <t>Hancock Whitney Stadium</t>
        </is>
      </c>
      <c r="F834" t="inlineStr"/>
      <c r="G834" t="inlineStr">
        <is>
          <t>Appalachian State|South Alabama</t>
        </is>
      </c>
    </row>
    <row r="835">
      <c r="A835" t="inlineStr">
        <is>
          <t>Fri Nov 27  3:30 PM ET</t>
        </is>
      </c>
      <c r="B835" t="n">
        <v>13</v>
      </c>
      <c r="C835" t="inlineStr">
        <is>
          <t>Florida</t>
        </is>
      </c>
      <c r="D835" t="inlineStr">
        <is>
          <t>Florida State</t>
        </is>
      </c>
      <c r="E835" t="inlineStr">
        <is>
          <t>Doak Campbell Stadium</t>
        </is>
      </c>
      <c r="F835" t="inlineStr"/>
      <c r="G835" t="inlineStr">
        <is>
          <t>Florida|Florida State</t>
        </is>
      </c>
    </row>
    <row r="836">
      <c r="A836" t="inlineStr">
        <is>
          <t>Fri Nov 27  3:30 PM ET</t>
        </is>
      </c>
      <c r="B836" t="n">
        <v>13</v>
      </c>
      <c r="C836" t="inlineStr">
        <is>
          <t>North Dakota State</t>
        </is>
      </c>
      <c r="D836" t="inlineStr">
        <is>
          <t>San Jose State</t>
        </is>
      </c>
      <c r="E836" t="inlineStr">
        <is>
          <t>CEFCU Stadium</t>
        </is>
      </c>
      <c r="F836" t="inlineStr"/>
      <c r="G836" t="inlineStr">
        <is>
          <t>North Dakota State|San Jose State</t>
        </is>
      </c>
    </row>
    <row r="837">
      <c r="A837" t="inlineStr">
        <is>
          <t>Fri Nov 27  7:30 PM ET</t>
        </is>
      </c>
      <c r="B837" t="n">
        <v>13</v>
      </c>
      <c r="C837" t="inlineStr">
        <is>
          <t>Texas</t>
        </is>
      </c>
      <c r="D837" t="inlineStr">
        <is>
          <t>Texas A&amp;M</t>
        </is>
      </c>
      <c r="E837" t="inlineStr">
        <is>
          <t>Kyle Field</t>
        </is>
      </c>
      <c r="F837" t="inlineStr"/>
      <c r="G837" t="inlineStr">
        <is>
          <t>Texas|Texas A&amp;M</t>
        </is>
      </c>
    </row>
    <row r="838">
      <c r="A838" t="inlineStr">
        <is>
          <t>Fri Nov 27  7:30 PM ET</t>
        </is>
      </c>
      <c r="B838" t="n">
        <v>13</v>
      </c>
      <c r="C838" t="inlineStr">
        <is>
          <t>Minnesota</t>
        </is>
      </c>
      <c r="D838" t="inlineStr">
        <is>
          <t>Wisconsin</t>
        </is>
      </c>
      <c r="E838" t="inlineStr">
        <is>
          <t>Camp Randall Stadium</t>
        </is>
      </c>
      <c r="F838" t="inlineStr"/>
      <c r="G838" t="inlineStr">
        <is>
          <t>Minnesota|Wisconsin</t>
        </is>
      </c>
    </row>
    <row r="839">
      <c r="A839" t="inlineStr">
        <is>
          <t>Fri Nov 27  9:00 PM ET</t>
        </is>
      </c>
      <c r="B839" t="n">
        <v>13</v>
      </c>
      <c r="C839" t="inlineStr">
        <is>
          <t>West Virginia</t>
        </is>
      </c>
      <c r="D839" t="inlineStr">
        <is>
          <t>Utah</t>
        </is>
      </c>
      <c r="E839" t="inlineStr">
        <is>
          <t>Rice-Eccles Stadium</t>
        </is>
      </c>
      <c r="F839" t="inlineStr"/>
      <c r="G839" t="inlineStr">
        <is>
          <t>Utah|West Virginia</t>
        </is>
      </c>
    </row>
    <row r="840">
      <c r="A840" t="inlineStr">
        <is>
          <t>Sat Nov 28  TBD</t>
        </is>
      </c>
      <c r="B840" t="n">
        <v>13</v>
      </c>
      <c r="C840" t="inlineStr">
        <is>
          <t>Navy</t>
        </is>
      </c>
      <c r="D840" t="inlineStr">
        <is>
          <t>Charlotte</t>
        </is>
      </c>
      <c r="E840" t="inlineStr">
        <is>
          <t>Jerry Richardson Stadium</t>
        </is>
      </c>
      <c r="F840" t="inlineStr"/>
      <c r="G840" t="inlineStr">
        <is>
          <t>Charlotte|Navy</t>
        </is>
      </c>
    </row>
    <row r="841">
      <c r="A841" t="inlineStr">
        <is>
          <t>Sat Nov 28  TBD</t>
        </is>
      </c>
      <c r="B841" t="n">
        <v>13</v>
      </c>
      <c r="C841" t="inlineStr">
        <is>
          <t>Auburn</t>
        </is>
      </c>
      <c r="D841" t="inlineStr">
        <is>
          <t>Alabama</t>
        </is>
      </c>
      <c r="E841" t="inlineStr">
        <is>
          <t>Bryant-Denny Stadium</t>
        </is>
      </c>
      <c r="F841" t="inlineStr"/>
      <c r="G841" t="inlineStr">
        <is>
          <t>Alabama|Auburn</t>
        </is>
      </c>
    </row>
    <row r="842">
      <c r="A842" t="inlineStr">
        <is>
          <t>Sat Nov 28  TBD</t>
        </is>
      </c>
      <c r="B842" t="n">
        <v>13</v>
      </c>
      <c r="C842" t="inlineStr">
        <is>
          <t>LSU</t>
        </is>
      </c>
      <c r="D842" t="inlineStr">
        <is>
          <t>Arkansas</t>
        </is>
      </c>
      <c r="E842" t="inlineStr">
        <is>
          <t>Razorback Stadium</t>
        </is>
      </c>
      <c r="F842" t="inlineStr"/>
      <c r="G842" t="inlineStr">
        <is>
          <t>Arkansas|LSU</t>
        </is>
      </c>
    </row>
    <row r="843">
      <c r="A843" t="inlineStr">
        <is>
          <t>Sat Nov 28  TBD</t>
        </is>
      </c>
      <c r="B843" t="n">
        <v>13</v>
      </c>
      <c r="C843" t="inlineStr">
        <is>
          <t>UConn</t>
        </is>
      </c>
      <c r="D843" t="inlineStr">
        <is>
          <t>Wyoming</t>
        </is>
      </c>
      <c r="E843" t="inlineStr">
        <is>
          <t>War Memorial Stadium</t>
        </is>
      </c>
      <c r="F843" t="inlineStr"/>
      <c r="G843" t="inlineStr">
        <is>
          <t>UConn|Wyoming</t>
        </is>
      </c>
    </row>
    <row r="844">
      <c r="A844" t="inlineStr">
        <is>
          <t>Sat Nov 28  TBD</t>
        </is>
      </c>
      <c r="B844" t="n">
        <v>13</v>
      </c>
      <c r="C844" t="inlineStr">
        <is>
          <t>Tennessee</t>
        </is>
      </c>
      <c r="D844" t="inlineStr">
        <is>
          <t>Vanderbilt</t>
        </is>
      </c>
      <c r="E844" t="inlineStr">
        <is>
          <t>FirstBank Stadium</t>
        </is>
      </c>
      <c r="F844" t="inlineStr"/>
      <c r="G844" t="inlineStr">
        <is>
          <t>Tennessee|Vanderbilt</t>
        </is>
      </c>
    </row>
    <row r="845">
      <c r="A845" t="inlineStr">
        <is>
          <t>Sat Nov 28  TBD</t>
        </is>
      </c>
      <c r="B845" t="n">
        <v>13</v>
      </c>
      <c r="C845" t="inlineStr">
        <is>
          <t>Kansas</t>
        </is>
      </c>
      <c r="D845" t="inlineStr">
        <is>
          <t>Oklahoma State</t>
        </is>
      </c>
      <c r="E845" t="inlineStr">
        <is>
          <t>Boone Pickens Stadium</t>
        </is>
      </c>
      <c r="F845" t="inlineStr"/>
      <c r="G845" t="inlineStr">
        <is>
          <t>Kansas|Oklahoma State</t>
        </is>
      </c>
    </row>
    <row r="846">
      <c r="A846" t="inlineStr">
        <is>
          <t>Sat Nov 28  TBD</t>
        </is>
      </c>
      <c r="B846" t="n">
        <v>13</v>
      </c>
      <c r="C846" t="inlineStr">
        <is>
          <t>Kansas State</t>
        </is>
      </c>
      <c r="D846" t="inlineStr">
        <is>
          <t>Iowa State</t>
        </is>
      </c>
      <c r="E846" t="inlineStr">
        <is>
          <t>Jack Trice Stadium</t>
        </is>
      </c>
      <c r="F846" t="inlineStr"/>
      <c r="G846" t="inlineStr">
        <is>
          <t>Iowa State|Kansas State</t>
        </is>
      </c>
    </row>
    <row r="847">
      <c r="A847" t="inlineStr">
        <is>
          <t>Sat Nov 28  TBD</t>
        </is>
      </c>
      <c r="B847" t="n">
        <v>13</v>
      </c>
      <c r="C847" t="inlineStr">
        <is>
          <t>Penn State</t>
        </is>
      </c>
      <c r="D847" t="inlineStr">
        <is>
          <t>Maryland</t>
        </is>
      </c>
      <c r="E847" t="inlineStr">
        <is>
          <t>SECU Stadium</t>
        </is>
      </c>
      <c r="F847" t="inlineStr"/>
      <c r="G847" t="inlineStr">
        <is>
          <t>Maryland|Penn State</t>
        </is>
      </c>
    </row>
    <row r="848">
      <c r="A848" t="inlineStr">
        <is>
          <t>Sat Nov 28  TBD</t>
        </is>
      </c>
      <c r="B848" t="n">
        <v>13</v>
      </c>
      <c r="C848" t="inlineStr">
        <is>
          <t>Oklahoma</t>
        </is>
      </c>
      <c r="D848" t="inlineStr">
        <is>
          <t>Missouri</t>
        </is>
      </c>
      <c r="E848" t="inlineStr">
        <is>
          <t>Memorial Stadium</t>
        </is>
      </c>
      <c r="F848" t="inlineStr"/>
      <c r="G848" t="inlineStr">
        <is>
          <t>Missouri|Oklahoma</t>
        </is>
      </c>
    </row>
    <row r="849">
      <c r="A849" t="inlineStr">
        <is>
          <t>Sat Nov 28  TBD</t>
        </is>
      </c>
      <c r="B849" t="n">
        <v>13</v>
      </c>
      <c r="C849" t="inlineStr">
        <is>
          <t>NC State</t>
        </is>
      </c>
      <c r="D849" t="inlineStr">
        <is>
          <t>North Carolina</t>
        </is>
      </c>
      <c r="E849" t="inlineStr">
        <is>
          <t>Kenan Stadium</t>
        </is>
      </c>
      <c r="F849" t="inlineStr"/>
      <c r="G849" t="inlineStr">
        <is>
          <t>NC State|North Carolina</t>
        </is>
      </c>
    </row>
    <row r="850">
      <c r="A850" t="inlineStr">
        <is>
          <t>Sat Nov 28  TBD</t>
        </is>
      </c>
      <c r="B850" t="n">
        <v>13</v>
      </c>
      <c r="C850" t="inlineStr">
        <is>
          <t>Tulsa</t>
        </is>
      </c>
      <c r="D850" t="inlineStr">
        <is>
          <t>UTSA</t>
        </is>
      </c>
      <c r="E850" t="inlineStr">
        <is>
          <t>Alamodome</t>
        </is>
      </c>
      <c r="F850" t="inlineStr"/>
      <c r="G850" t="inlineStr">
        <is>
          <t>Tulsa|UTSA</t>
        </is>
      </c>
    </row>
    <row r="851">
      <c r="A851" t="inlineStr">
        <is>
          <t>Sat Nov 28  TBD</t>
        </is>
      </c>
      <c r="B851" t="n">
        <v>13</v>
      </c>
      <c r="C851" t="inlineStr">
        <is>
          <t>UAB</t>
        </is>
      </c>
      <c r="D851" t="inlineStr">
        <is>
          <t>North Texas</t>
        </is>
      </c>
      <c r="E851" t="inlineStr">
        <is>
          <t>DATCU Stadium</t>
        </is>
      </c>
      <c r="F851" t="inlineStr"/>
      <c r="G851" t="inlineStr">
        <is>
          <t>North Texas|UAB</t>
        </is>
      </c>
    </row>
    <row r="852">
      <c r="A852" t="inlineStr">
        <is>
          <t>Sat Nov 28  TBD</t>
        </is>
      </c>
      <c r="B852" t="n">
        <v>13</v>
      </c>
      <c r="C852" t="inlineStr">
        <is>
          <t>UTEP</t>
        </is>
      </c>
      <c r="D852" t="inlineStr">
        <is>
          <t>Northern Illinois</t>
        </is>
      </c>
      <c r="E852" t="inlineStr">
        <is>
          <t>Huskie Stadium</t>
        </is>
      </c>
      <c r="F852" t="inlineStr"/>
      <c r="G852" t="inlineStr">
        <is>
          <t>Northern Illinois|UTEP</t>
        </is>
      </c>
    </row>
    <row r="853">
      <c r="A853" t="inlineStr">
        <is>
          <t>Sat Nov 28  TBD</t>
        </is>
      </c>
      <c r="B853" t="n">
        <v>13</v>
      </c>
      <c r="C853" t="inlineStr">
        <is>
          <t>Louisiana Tech</t>
        </is>
      </c>
      <c r="D853" t="inlineStr">
        <is>
          <t>Georgia Southern</t>
        </is>
      </c>
      <c r="E853" t="inlineStr">
        <is>
          <t>Allen E. Paulson Stadium</t>
        </is>
      </c>
      <c r="F853" t="inlineStr"/>
      <c r="G853" t="inlineStr">
        <is>
          <t>Georgia Southern|Louisiana Tech</t>
        </is>
      </c>
    </row>
    <row r="854">
      <c r="A854" t="inlineStr">
        <is>
          <t>Sat Nov 28  TBD</t>
        </is>
      </c>
      <c r="B854" t="n">
        <v>13</v>
      </c>
      <c r="C854" t="inlineStr">
        <is>
          <t>Baylor</t>
        </is>
      </c>
      <c r="D854" t="inlineStr">
        <is>
          <t>Houston</t>
        </is>
      </c>
      <c r="E854" t="inlineStr">
        <is>
          <t>TDECU Stadium</t>
        </is>
      </c>
      <c r="F854" t="inlineStr"/>
      <c r="G854" t="inlineStr">
        <is>
          <t>Baylor|Houston</t>
        </is>
      </c>
    </row>
    <row r="855">
      <c r="A855" t="inlineStr">
        <is>
          <t>Sat Nov 28  TBD</t>
        </is>
      </c>
      <c r="B855" t="n">
        <v>13</v>
      </c>
      <c r="C855" t="inlineStr">
        <is>
          <t>Arizona State</t>
        </is>
      </c>
      <c r="D855" t="inlineStr">
        <is>
          <t>Arizona</t>
        </is>
      </c>
      <c r="E855" t="inlineStr">
        <is>
          <t>Arizona Stadium</t>
        </is>
      </c>
      <c r="F855" t="inlineStr"/>
      <c r="G855" t="inlineStr">
        <is>
          <t>Arizona|Arizona State</t>
        </is>
      </c>
    </row>
    <row r="856">
      <c r="A856" t="inlineStr">
        <is>
          <t>Sat Nov 28  TBD</t>
        </is>
      </c>
      <c r="B856" t="n">
        <v>13</v>
      </c>
      <c r="C856" t="inlineStr">
        <is>
          <t>SMU</t>
        </is>
      </c>
      <c r="D856" t="inlineStr">
        <is>
          <t>Stanford</t>
        </is>
      </c>
      <c r="E856" t="inlineStr">
        <is>
          <t>Stanford Stadium</t>
        </is>
      </c>
      <c r="F856" t="inlineStr"/>
      <c r="G856" t="inlineStr">
        <is>
          <t>SMU|Stanford</t>
        </is>
      </c>
    </row>
    <row r="857">
      <c r="A857" t="inlineStr">
        <is>
          <t>Sat Nov 28  TBD</t>
        </is>
      </c>
      <c r="B857" t="n">
        <v>13</v>
      </c>
      <c r="C857" t="inlineStr">
        <is>
          <t>Washington</t>
        </is>
      </c>
      <c r="D857" t="inlineStr">
        <is>
          <t>Oregon</t>
        </is>
      </c>
      <c r="E857" t="inlineStr">
        <is>
          <t>Autzen Stadium</t>
        </is>
      </c>
      <c r="F857" t="inlineStr"/>
      <c r="G857" t="inlineStr">
        <is>
          <t>Oregon|Washington</t>
        </is>
      </c>
    </row>
    <row r="858">
      <c r="A858" t="inlineStr">
        <is>
          <t>Sat Nov 28  TBD</t>
        </is>
      </c>
      <c r="B858" t="n">
        <v>13</v>
      </c>
      <c r="C858" t="inlineStr">
        <is>
          <t>Louisiana</t>
        </is>
      </c>
      <c r="D858" t="inlineStr">
        <is>
          <t>Georgia State</t>
        </is>
      </c>
      <c r="E858" t="inlineStr">
        <is>
          <t>Center Parc Stadium</t>
        </is>
      </c>
      <c r="F858" t="inlineStr"/>
      <c r="G858" t="inlineStr">
        <is>
          <t>Georgia State|Louisiana</t>
        </is>
      </c>
    </row>
    <row r="859">
      <c r="A859" t="inlineStr">
        <is>
          <t>Sat Nov 28  TBD</t>
        </is>
      </c>
      <c r="B859" t="n">
        <v>13</v>
      </c>
      <c r="C859" t="inlineStr">
        <is>
          <t>Marshall</t>
        </is>
      </c>
      <c r="D859" t="inlineStr">
        <is>
          <t>Louisiana-Monroe</t>
        </is>
      </c>
      <c r="E859" t="inlineStr">
        <is>
          <t>Malone Stadium</t>
        </is>
      </c>
      <c r="F859" t="inlineStr"/>
      <c r="G859" t="inlineStr">
        <is>
          <t>Louisiana-Monroe|Marshall</t>
        </is>
      </c>
    </row>
    <row r="860">
      <c r="A860" t="inlineStr">
        <is>
          <t>Sat Nov 28  TBD</t>
        </is>
      </c>
      <c r="B860" t="n">
        <v>13</v>
      </c>
      <c r="C860" t="inlineStr">
        <is>
          <t>UCF</t>
        </is>
      </c>
      <c r="D860" t="inlineStr">
        <is>
          <t>Colorado</t>
        </is>
      </c>
      <c r="E860" t="inlineStr">
        <is>
          <t>Folsom Field</t>
        </is>
      </c>
      <c r="F860" t="inlineStr"/>
      <c r="G860" t="inlineStr">
        <is>
          <t>Colorado|UCF</t>
        </is>
      </c>
    </row>
    <row r="861">
      <c r="A861" t="inlineStr">
        <is>
          <t>Sat Nov 28  TBD</t>
        </is>
      </c>
      <c r="B861" t="n">
        <v>13</v>
      </c>
      <c r="C861" t="inlineStr">
        <is>
          <t>Coastal Carolina</t>
        </is>
      </c>
      <c r="D861" t="inlineStr">
        <is>
          <t>James Madison</t>
        </is>
      </c>
      <c r="E861" t="inlineStr">
        <is>
          <t>Bridgeforth Stadium</t>
        </is>
      </c>
      <c r="F861" t="inlineStr"/>
      <c r="G861" t="inlineStr">
        <is>
          <t>Coastal Carolina|James Madison</t>
        </is>
      </c>
    </row>
    <row r="862">
      <c r="A862" t="inlineStr">
        <is>
          <t>Sat Nov 28  TBD</t>
        </is>
      </c>
      <c r="B862" t="n">
        <v>13</v>
      </c>
      <c r="C862" t="inlineStr">
        <is>
          <t>Michigan State</t>
        </is>
      </c>
      <c r="D862" t="inlineStr">
        <is>
          <t>Rutgers</t>
        </is>
      </c>
      <c r="E862" t="inlineStr">
        <is>
          <t>SHI Stadium</t>
        </is>
      </c>
      <c r="F862" t="inlineStr"/>
      <c r="G862" t="inlineStr">
        <is>
          <t>Michigan State|Rutgers</t>
        </is>
      </c>
    </row>
    <row r="863">
      <c r="A863" t="inlineStr">
        <is>
          <t>Sat Nov 28  TBD</t>
        </is>
      </c>
      <c r="B863" t="n">
        <v>13</v>
      </c>
      <c r="C863" t="inlineStr">
        <is>
          <t>Virginia</t>
        </is>
      </c>
      <c r="D863" t="inlineStr">
        <is>
          <t>Virginia Tech</t>
        </is>
      </c>
      <c r="E863" t="inlineStr">
        <is>
          <t>Lane Stadium</t>
        </is>
      </c>
      <c r="F863" t="inlineStr"/>
      <c r="G863" t="inlineStr">
        <is>
          <t>Virginia|Virginia Tech</t>
        </is>
      </c>
    </row>
    <row r="864">
      <c r="A864" t="inlineStr">
        <is>
          <t>Sat Nov 28  TBD</t>
        </is>
      </c>
      <c r="B864" t="n">
        <v>13</v>
      </c>
      <c r="C864" t="inlineStr">
        <is>
          <t>Army</t>
        </is>
      </c>
      <c r="D864" t="inlineStr">
        <is>
          <t>Rice</t>
        </is>
      </c>
      <c r="E864" t="inlineStr">
        <is>
          <t>Rice Stadium</t>
        </is>
      </c>
      <c r="F864" t="inlineStr"/>
      <c r="G864" t="inlineStr">
        <is>
          <t>Army|Rice</t>
        </is>
      </c>
    </row>
    <row r="865">
      <c r="A865" t="inlineStr">
        <is>
          <t>Sat Nov 28  TBD</t>
        </is>
      </c>
      <c r="B865" t="n">
        <v>13</v>
      </c>
      <c r="C865" t="inlineStr">
        <is>
          <t>Illinois</t>
        </is>
      </c>
      <c r="D865" t="inlineStr">
        <is>
          <t>Northwestern</t>
        </is>
      </c>
      <c r="E865" t="inlineStr">
        <is>
          <t>Ryan Field</t>
        </is>
      </c>
      <c r="F865" t="inlineStr"/>
      <c r="G865" t="inlineStr">
        <is>
          <t>Illinois|Northwestern</t>
        </is>
      </c>
    </row>
    <row r="866">
      <c r="A866" t="inlineStr">
        <is>
          <t>Sat Nov 28  TBD</t>
        </is>
      </c>
      <c r="B866" t="n">
        <v>13</v>
      </c>
      <c r="C866" t="inlineStr">
        <is>
          <t>Louisville</t>
        </is>
      </c>
      <c r="D866" t="inlineStr">
        <is>
          <t>Kentucky</t>
        </is>
      </c>
      <c r="E866" t="inlineStr">
        <is>
          <t>Kroger Field</t>
        </is>
      </c>
      <c r="F866" t="inlineStr"/>
      <c r="G866" t="inlineStr">
        <is>
          <t>Kentucky|Louisville</t>
        </is>
      </c>
    </row>
    <row r="867">
      <c r="A867" t="inlineStr">
        <is>
          <t>Sat Nov 28  TBD</t>
        </is>
      </c>
      <c r="B867" t="n">
        <v>13</v>
      </c>
      <c r="C867" t="inlineStr">
        <is>
          <t>South Carolina</t>
        </is>
      </c>
      <c r="D867" t="inlineStr">
        <is>
          <t>Clemson</t>
        </is>
      </c>
      <c r="E867" t="inlineStr">
        <is>
          <t>Memorial Stadium (Clemson, SC)</t>
        </is>
      </c>
      <c r="F867" t="inlineStr"/>
      <c r="G867" t="inlineStr">
        <is>
          <t>Clemson|South Carolina</t>
        </is>
      </c>
    </row>
    <row r="868">
      <c r="A868" t="inlineStr">
        <is>
          <t>Sat Nov 28  TBD</t>
        </is>
      </c>
      <c r="B868" t="n">
        <v>13</v>
      </c>
      <c r="C868" t="inlineStr">
        <is>
          <t>Cincinnati</t>
        </is>
      </c>
      <c r="D868" t="inlineStr">
        <is>
          <t>BYU</t>
        </is>
      </c>
      <c r="E868" t="inlineStr">
        <is>
          <t>LaVell Edwards Stadium</t>
        </is>
      </c>
      <c r="F868" t="inlineStr"/>
      <c r="G868" t="inlineStr">
        <is>
          <t>BYU|Cincinnati</t>
        </is>
      </c>
    </row>
    <row r="869">
      <c r="A869" t="inlineStr">
        <is>
          <t>Sat Nov 28  TBD</t>
        </is>
      </c>
      <c r="B869" t="n">
        <v>13</v>
      </c>
      <c r="C869" t="inlineStr">
        <is>
          <t>Boston College</t>
        </is>
      </c>
      <c r="D869" t="inlineStr">
        <is>
          <t>Miami</t>
        </is>
      </c>
      <c r="E869" t="inlineStr">
        <is>
          <t>Hard Rock Stadium</t>
        </is>
      </c>
      <c r="F869" t="inlineStr"/>
      <c r="G869" t="inlineStr">
        <is>
          <t>Boston College|Miami</t>
        </is>
      </c>
    </row>
    <row r="870">
      <c r="A870" t="inlineStr">
        <is>
          <t>Sat Nov 28  TBD</t>
        </is>
      </c>
      <c r="B870" t="n">
        <v>13</v>
      </c>
      <c r="C870" t="inlineStr">
        <is>
          <t>USC</t>
        </is>
      </c>
      <c r="D870" t="inlineStr">
        <is>
          <t>UCLA</t>
        </is>
      </c>
      <c r="E870" t="inlineStr">
        <is>
          <t>Rose Bowl</t>
        </is>
      </c>
      <c r="F870" t="inlineStr"/>
      <c r="G870" t="inlineStr">
        <is>
          <t>UCLA|USC</t>
        </is>
      </c>
    </row>
    <row r="871">
      <c r="A871" t="inlineStr">
        <is>
          <t>Sat Nov 28  TBD</t>
        </is>
      </c>
      <c r="B871" t="n">
        <v>13</v>
      </c>
      <c r="C871" t="inlineStr">
        <is>
          <t>Duke</t>
        </is>
      </c>
      <c r="D871" t="inlineStr">
        <is>
          <t>Wake Forest</t>
        </is>
      </c>
      <c r="E871" t="inlineStr">
        <is>
          <t>Allegacy Federal Credit Union Stadium</t>
        </is>
      </c>
      <c r="F871" t="inlineStr"/>
      <c r="G871" t="inlineStr">
        <is>
          <t>Duke|Wake Forest</t>
        </is>
      </c>
    </row>
    <row r="872">
      <c r="A872" t="inlineStr">
        <is>
          <t>Sat Nov 28  TBD</t>
        </is>
      </c>
      <c r="B872" t="n">
        <v>13</v>
      </c>
      <c r="C872" t="inlineStr">
        <is>
          <t>Notre Dame</t>
        </is>
      </c>
      <c r="D872" t="inlineStr">
        <is>
          <t>Syracuse</t>
        </is>
      </c>
      <c r="E872" t="inlineStr">
        <is>
          <t>JMA Wireless Dome</t>
        </is>
      </c>
      <c r="F872" t="inlineStr"/>
      <c r="G872" t="inlineStr">
        <is>
          <t>Notre Dame|Syracuse</t>
        </is>
      </c>
    </row>
    <row r="873">
      <c r="A873" t="inlineStr">
        <is>
          <t>Sat Nov 28  TBD</t>
        </is>
      </c>
      <c r="B873" t="n">
        <v>13</v>
      </c>
      <c r="C873" t="inlineStr">
        <is>
          <t>Pittsburgh</t>
        </is>
      </c>
      <c r="D873" t="inlineStr">
        <is>
          <t>California</t>
        </is>
      </c>
      <c r="E873" t="inlineStr">
        <is>
          <t>California Memorial Stadium</t>
        </is>
      </c>
      <c r="F873" t="inlineStr"/>
      <c r="G873" t="inlineStr">
        <is>
          <t>California|Pittsburgh</t>
        </is>
      </c>
    </row>
    <row r="874">
      <c r="A874" t="inlineStr">
        <is>
          <t>Sat Nov 28  TBD</t>
        </is>
      </c>
      <c r="B874" t="n">
        <v>13</v>
      </c>
      <c r="C874" t="inlineStr">
        <is>
          <t>Purdue</t>
        </is>
      </c>
      <c r="D874" t="inlineStr">
        <is>
          <t>Indiana</t>
        </is>
      </c>
      <c r="E874" t="inlineStr">
        <is>
          <t>Memorial Stadium (Bloomington, IN)</t>
        </is>
      </c>
      <c r="F874" t="inlineStr"/>
      <c r="G874" t="inlineStr">
        <is>
          <t>Indiana|Purdue</t>
        </is>
      </c>
    </row>
    <row r="875">
      <c r="A875" t="inlineStr">
        <is>
          <t>Sat Nov 28  TBD</t>
        </is>
      </c>
      <c r="B875" t="n">
        <v>13</v>
      </c>
      <c r="C875" t="inlineStr">
        <is>
          <t>Georgia Tech</t>
        </is>
      </c>
      <c r="D875" t="inlineStr">
        <is>
          <t>Georgia</t>
        </is>
      </c>
      <c r="E875" t="inlineStr">
        <is>
          <t>Sanford Stadium</t>
        </is>
      </c>
      <c r="F875" t="inlineStr"/>
      <c r="G875" t="inlineStr">
        <is>
          <t>Georgia|Georgia Tech</t>
        </is>
      </c>
    </row>
    <row r="876">
      <c r="A876" t="inlineStr">
        <is>
          <t>Sat Nov 28  TBD</t>
        </is>
      </c>
      <c r="B876" t="n">
        <v>13</v>
      </c>
      <c r="C876" t="inlineStr">
        <is>
          <t>Southern Miss</t>
        </is>
      </c>
      <c r="D876" t="inlineStr">
        <is>
          <t>Old Dominion</t>
        </is>
      </c>
      <c r="E876" t="inlineStr">
        <is>
          <t>S.B. Ballard Stadium</t>
        </is>
      </c>
      <c r="F876" t="inlineStr"/>
      <c r="G876" t="inlineStr">
        <is>
          <t>Old Dominion|Southern Miss</t>
        </is>
      </c>
    </row>
    <row r="877">
      <c r="A877" t="inlineStr">
        <is>
          <t>Sat Nov 28  12:00 PM ET</t>
        </is>
      </c>
      <c r="B877" t="n">
        <v>13</v>
      </c>
      <c r="C877" t="inlineStr">
        <is>
          <t>Michigan</t>
        </is>
      </c>
      <c r="D877" t="inlineStr">
        <is>
          <t>Ohio State</t>
        </is>
      </c>
      <c r="E877" t="inlineStr">
        <is>
          <t>Ohio Stadium</t>
        </is>
      </c>
      <c r="F877" t="inlineStr"/>
      <c r="G877" t="inlineStr">
        <is>
          <t>Michigan|Ohio State</t>
        </is>
      </c>
    </row>
    <row r="878">
      <c r="A878" t="inlineStr">
        <is>
          <t>Sat Nov 28  12:00 PM ET</t>
        </is>
      </c>
      <c r="B878" t="n">
        <v>13</v>
      </c>
      <c r="C878" t="inlineStr">
        <is>
          <t>UMass</t>
        </is>
      </c>
      <c r="D878" t="inlineStr">
        <is>
          <t>Bowling Green</t>
        </is>
      </c>
      <c r="E878" t="inlineStr">
        <is>
          <t>Doyt L. Perry Stadium</t>
        </is>
      </c>
      <c r="F878" t="inlineStr"/>
      <c r="G878" t="inlineStr">
        <is>
          <t>Bowling Green|UMass</t>
        </is>
      </c>
    </row>
    <row r="879">
      <c r="A879" t="inlineStr">
        <is>
          <t>Sat Nov 28  12:00 PM ET</t>
        </is>
      </c>
      <c r="B879" t="n">
        <v>13</v>
      </c>
      <c r="C879" t="inlineStr">
        <is>
          <t>Central Michigan</t>
        </is>
      </c>
      <c r="D879" t="inlineStr">
        <is>
          <t>Ball State</t>
        </is>
      </c>
      <c r="E879" t="inlineStr">
        <is>
          <t>Scheumann Stadium</t>
        </is>
      </c>
      <c r="F879" t="inlineStr"/>
      <c r="G879" t="inlineStr">
        <is>
          <t>Ball State|Central Michigan</t>
        </is>
      </c>
    </row>
    <row r="880">
      <c r="A880" t="inlineStr">
        <is>
          <t>Sat Nov 28  1:00 PM ET</t>
        </is>
      </c>
      <c r="B880" t="n">
        <v>13</v>
      </c>
      <c r="C880" t="inlineStr">
        <is>
          <t>Kennesaw State</t>
        </is>
      </c>
      <c r="D880" t="inlineStr">
        <is>
          <t>Western Kentucky</t>
        </is>
      </c>
      <c r="E880" t="inlineStr">
        <is>
          <t>Houchens Industries-L.T. Smith Stadium</t>
        </is>
      </c>
      <c r="F880" t="inlineStr"/>
      <c r="G880" t="inlineStr">
        <is>
          <t>Kennesaw State|Western Kentucky</t>
        </is>
      </c>
    </row>
    <row r="881">
      <c r="A881" t="inlineStr">
        <is>
          <t>Sat Nov 28  2:00 PM ET</t>
        </is>
      </c>
      <c r="B881" t="n">
        <v>13</v>
      </c>
      <c r="C881" t="inlineStr">
        <is>
          <t>Liberty</t>
        </is>
      </c>
      <c r="D881" t="inlineStr">
        <is>
          <t>Missouri State</t>
        </is>
      </c>
      <c r="E881" t="inlineStr">
        <is>
          <t>Plaster Sports Complex</t>
        </is>
      </c>
      <c r="F881" t="inlineStr"/>
      <c r="G881" t="inlineStr">
        <is>
          <t>Liberty|Missouri State</t>
        </is>
      </c>
    </row>
    <row r="882">
      <c r="A882" t="inlineStr">
        <is>
          <t>Sat Nov 28  2:00 PM ET</t>
        </is>
      </c>
      <c r="B882" t="n">
        <v>13</v>
      </c>
      <c r="C882" t="inlineStr">
        <is>
          <t>Sam Houston</t>
        </is>
      </c>
      <c r="D882" t="inlineStr">
        <is>
          <t>Florida International</t>
        </is>
      </c>
      <c r="E882" t="inlineStr">
        <is>
          <t>Pitbull Stadium</t>
        </is>
      </c>
      <c r="F882" t="inlineStr"/>
      <c r="G882" t="inlineStr">
        <is>
          <t>Florida International|Sam Houston</t>
        </is>
      </c>
    </row>
    <row r="883">
      <c r="A883" t="inlineStr">
        <is>
          <t>Sat Nov 28  2:00 PM ET</t>
        </is>
      </c>
      <c r="B883" t="n">
        <v>13</v>
      </c>
      <c r="C883" t="inlineStr">
        <is>
          <t>New Mexico State</t>
        </is>
      </c>
      <c r="D883" t="inlineStr">
        <is>
          <t>Middle Tennessee</t>
        </is>
      </c>
      <c r="E883" t="inlineStr">
        <is>
          <t>Johnny "Red" Floyd Stadium</t>
        </is>
      </c>
      <c r="F883" t="inlineStr"/>
      <c r="G883" t="inlineStr">
        <is>
          <t>Middle Tennessee|New Mexico State</t>
        </is>
      </c>
    </row>
    <row r="884">
      <c r="A884" t="inlineStr">
        <is>
          <t>Sat Nov 28  3:00 PM ET</t>
        </is>
      </c>
      <c r="B884" t="n">
        <v>13</v>
      </c>
      <c r="C884" t="inlineStr">
        <is>
          <t>Troy</t>
        </is>
      </c>
      <c r="D884" t="inlineStr">
        <is>
          <t>Arkansas State</t>
        </is>
      </c>
      <c r="E884" t="inlineStr">
        <is>
          <t>Centennial Bank Stadium</t>
        </is>
      </c>
      <c r="F884" t="inlineStr"/>
      <c r="G884" t="inlineStr">
        <is>
          <t>Arkansas State|Troy</t>
        </is>
      </c>
    </row>
    <row r="885">
      <c r="A885" t="inlineStr">
        <is>
          <t>Sat Nov 28  3:30 PM ET</t>
        </is>
      </c>
      <c r="B885" t="n">
        <v>13</v>
      </c>
      <c r="C885" t="inlineStr">
        <is>
          <t>Jacksonville State</t>
        </is>
      </c>
      <c r="D885" t="inlineStr">
        <is>
          <t>Delaware</t>
        </is>
      </c>
      <c r="E885" t="inlineStr">
        <is>
          <t>Delaware Stadium</t>
        </is>
      </c>
      <c r="F885" t="inlineStr"/>
      <c r="G885" t="inlineStr">
        <is>
          <t>Delaware|Jacksonville State</t>
        </is>
      </c>
    </row>
    <row r="886">
      <c r="A886" t="inlineStr">
        <is>
          <t>Sat Nov 28  4:30 PM ET</t>
        </is>
      </c>
      <c r="B886" t="n">
        <v>13</v>
      </c>
      <c r="C886" t="inlineStr">
        <is>
          <t>Air Force</t>
        </is>
      </c>
      <c r="D886" t="inlineStr">
        <is>
          <t>New Mexico</t>
        </is>
      </c>
      <c r="E886" t="inlineStr">
        <is>
          <t>University Stadium (NM)</t>
        </is>
      </c>
      <c r="F886" t="inlineStr"/>
      <c r="G886" t="inlineStr">
        <is>
          <t>Air Force|New Mexico</t>
        </is>
      </c>
    </row>
    <row r="887">
      <c r="A887" t="inlineStr">
        <is>
          <t>Sat Nov 28  9:00 PM ET</t>
        </is>
      </c>
      <c r="B887" t="n">
        <v>13</v>
      </c>
      <c r="C887" t="inlineStr">
        <is>
          <t>Nevada</t>
        </is>
      </c>
      <c r="D887" t="inlineStr">
        <is>
          <t>UNLV</t>
        </is>
      </c>
      <c r="E887" t="inlineStr">
        <is>
          <t>Allegiant Stadium</t>
        </is>
      </c>
      <c r="F887" t="inlineStr"/>
      <c r="G887" t="inlineStr">
        <is>
          <t>Nevada|UNLV</t>
        </is>
      </c>
    </row>
    <row r="888">
      <c r="A888" t="inlineStr">
        <is>
          <t>Sat Nov 28  11:00 PM ET</t>
        </is>
      </c>
      <c r="B888" t="n">
        <v>13</v>
      </c>
      <c r="C888" t="inlineStr">
        <is>
          <t>Sacramento State</t>
        </is>
      </c>
      <c r="D888" t="inlineStr">
        <is>
          <t>Hawaii</t>
        </is>
      </c>
      <c r="E888" t="inlineStr">
        <is>
          <t>Clarence T.C. Ching Athletics Complex</t>
        </is>
      </c>
      <c r="F888" t="inlineStr"/>
      <c r="G888" t="inlineStr">
        <is>
          <t>Hawaii|Sacramento State</t>
        </is>
      </c>
    </row>
    <row r="889">
      <c r="A889" t="inlineStr">
        <is>
          <t>Sat Dec 12  3:00 PM ET</t>
        </is>
      </c>
      <c r="B889" t="n">
        <v>15</v>
      </c>
      <c r="C889" t="inlineStr">
        <is>
          <t>Navy</t>
        </is>
      </c>
      <c r="D889" t="inlineStr">
        <is>
          <t>Army</t>
        </is>
      </c>
      <c r="E889" t="inlineStr">
        <is>
          <t>Neutral site</t>
        </is>
      </c>
      <c r="F889" t="inlineStr"/>
      <c r="G889" t="inlineStr">
        <is>
          <t>Army|Navy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</cols>
  <sheetData>
    <row r="1">
      <c r="A1" s="18" t="inlineStr">
        <is>
          <t>Rank</t>
        </is>
      </c>
      <c r="B1" s="18" t="inlineStr">
        <is>
          <t>Team</t>
        </is>
      </c>
      <c r="C1" s="18" t="inlineStr">
        <is>
          <t>Conf</t>
        </is>
      </c>
      <c r="D1" s="18" t="inlineStr">
        <is>
          <t>SP+</t>
        </is>
      </c>
      <c r="E1" s="18" t="inlineStr">
        <is>
          <t>Talent</t>
        </is>
      </c>
      <c r="F1" s="18" t="inlineStr">
        <is>
          <t>Form</t>
        </is>
      </c>
      <c r="G1" s="18" t="inlineStr">
        <is>
          <t>Succ Rate</t>
        </is>
      </c>
      <c r="H1" s="18" t="inlineStr">
        <is>
          <t>Explos.</t>
        </is>
      </c>
      <c r="I1" s="18" t="inlineStr">
        <is>
          <t>Off PPA</t>
        </is>
      </c>
      <c r="J1" s="18" t="inlineStr">
        <is>
          <t>Def PPA</t>
        </is>
      </c>
      <c r="K1" s="18" t="inlineStr">
        <is>
          <t>Eff (raw z)</t>
        </is>
      </c>
      <c r="L1" s="18" t="inlineStr">
        <is>
          <t>Talent (pts)</t>
        </is>
      </c>
      <c r="M1" s="18" t="inlineStr">
        <is>
          <t>Form (pts)</t>
        </is>
      </c>
      <c r="N1" s="18" t="inlineStr">
        <is>
          <t>Eff (pts)</t>
        </is>
      </c>
      <c r="O1" s="18" t="inlineStr">
        <is>
          <t>POWER RATING</t>
        </is>
      </c>
      <c r="P1" s="18" t="inlineStr">
        <is>
          <t>Def Havoc</t>
        </is>
      </c>
      <c r="Q1" s="18" t="inlineStr">
        <is>
          <t>Off Havoc</t>
        </is>
      </c>
      <c r="R1" s="18" t="inlineStr">
        <is>
          <t>Havoc net z</t>
        </is>
      </c>
      <c r="S1" s="18" t="inlineStr">
        <is>
          <t>Havoc (pts)</t>
        </is>
      </c>
    </row>
    <row r="2">
      <c r="A2" s="12">
        <f>RANK(O2,$O$2:$O$139,0)</f>
        <v/>
      </c>
      <c r="B2" s="30" t="inlineStr">
        <is>
          <t>Air Force</t>
        </is>
      </c>
      <c r="C2" s="23">
        <f>INDEX('Auto Feed'!$B$2:$B$139,MATCH($B2,'Auto Feed'!$A$2:$A$139,0))</f>
        <v/>
      </c>
      <c r="D2" s="31">
        <f>INDEX('Weekly Input'!$B$2:$B$139,MATCH($B2,'Weekly Input'!$A$2:$A$139,0))</f>
        <v/>
      </c>
      <c r="E2" s="31">
        <f>INDEX('Auto Feed'!$C$2:$C$139,MATCH($B2,'Auto Feed'!$A$2:$A$139,0))</f>
        <v/>
      </c>
      <c r="F2" s="31">
        <f>INDEX('Auto Feed'!$D$2:$D$139,MATCH($B2,'Auto Feed'!$A$2:$A$139,0))</f>
        <v/>
      </c>
      <c r="G2" s="51">
        <f>INDEX('Auto Feed'!$E$2:$E$139,MATCH($B2,'Auto Feed'!$A$2:$A$139,0))</f>
        <v/>
      </c>
      <c r="H2" s="51">
        <f>INDEX('Auto Feed'!$F$2:$F$139,MATCH($B2,'Auto Feed'!$A$2:$A$139,0))</f>
        <v/>
      </c>
      <c r="I2" s="51">
        <f>INDEX('Auto Feed'!$G$2:$G$139,MATCH($B2,'Auto Feed'!$A$2:$A$139,0))</f>
        <v/>
      </c>
      <c r="J2" s="51">
        <f>INDEX('Auto Feed'!$H$2:$H$139,MATCH($B2,'Auto Feed'!$A$2:$A$139,0))</f>
        <v/>
      </c>
      <c r="K2" s="32">
        <f>((G2-AVERAGE('Auto Feed'!$E$2:$E$139))/STDEV('Auto Feed'!$E$2:$E$139))+((H2-AVERAGE('Auto Feed'!$F$2:$F$139))/STDEV('Auto Feed'!$F$2:$F$139))+((I2-AVERAGE('Auto Feed'!$G$2:$G$139))/STDEV('Auto Feed'!$G$2:$G$139))-((J2-AVERAGE('Auto Feed'!$H$2:$H$139))/STDEV('Auto Feed'!$H$2:$H$139))</f>
        <v/>
      </c>
      <c r="L2" s="31">
        <f>((E2-AVERAGE('Auto Feed'!$C$2:$C$139))/STDEV('Auto Feed'!$C$2:$C$139))*'Weights &amp; Params'!$B$14</f>
        <v/>
      </c>
      <c r="M2" s="31">
        <f>((F2-AVERAGE('Auto Feed'!$D$2:$D$139))/STDEV('Auto Feed'!$D$2:$D$139))*'Weights &amp; Params'!$B$14</f>
        <v/>
      </c>
      <c r="N2" s="31">
        <f>((K2-AVERAGE($K$2:$K$139))/STDEV($K$2:$K$139))*'Weights &amp; Params'!$B$14</f>
        <v/>
      </c>
      <c r="O2" s="33">
        <f>'Weights &amp; Params'!$B$5*D2+'Weights &amp; Params'!$B$6*L2+'Weights &amp; Params'!$B$7*M2+'Weights &amp; Params'!$B$8*N2+'Weights &amp; Params'!$B$17*S2</f>
        <v/>
      </c>
      <c r="P2" s="54">
        <f>INDEX('Auto Feed'!$I$2:$I$139,MATCH($B2,'Auto Feed'!$A$2:$A$139,0))</f>
        <v/>
      </c>
      <c r="Q2" s="54">
        <f>INDEX('Auto Feed'!$J$2:$J$139,MATCH($B2,'Auto Feed'!$A$2:$A$139,0))</f>
        <v/>
      </c>
      <c r="R2" s="54">
        <f>((P2-AVERAGE('Auto Feed'!$I$2:$I$139))/STDEV('Auto Feed'!$I$2:$I$139))-((Q2-AVERAGE('Auto Feed'!$J$2:$J$139))/STDEV('Auto Feed'!$J$2:$J$139))</f>
        <v/>
      </c>
      <c r="S2" s="54">
        <f>((R2-AVERAGE($R$2:$R$139))/STDEV($R$2:$R$139))*'Weights &amp; Params'!$B$14</f>
        <v/>
      </c>
    </row>
    <row r="3">
      <c r="A3" s="12">
        <f>RANK(O3,$O$2:$O$139,0)</f>
        <v/>
      </c>
      <c r="B3" s="30" t="inlineStr">
        <is>
          <t>Akron</t>
        </is>
      </c>
      <c r="C3" s="23">
        <f>INDEX('Auto Feed'!$B$2:$B$139,MATCH($B3,'Auto Feed'!$A$2:$A$139,0))</f>
        <v/>
      </c>
      <c r="D3" s="31">
        <f>INDEX('Weekly Input'!$B$2:$B$139,MATCH($B3,'Weekly Input'!$A$2:$A$139,0))</f>
        <v/>
      </c>
      <c r="E3" s="31">
        <f>INDEX('Auto Feed'!$C$2:$C$139,MATCH($B3,'Auto Feed'!$A$2:$A$139,0))</f>
        <v/>
      </c>
      <c r="F3" s="31">
        <f>INDEX('Auto Feed'!$D$2:$D$139,MATCH($B3,'Auto Feed'!$A$2:$A$139,0))</f>
        <v/>
      </c>
      <c r="G3" s="51">
        <f>INDEX('Auto Feed'!$E$2:$E$139,MATCH($B3,'Auto Feed'!$A$2:$A$139,0))</f>
        <v/>
      </c>
      <c r="H3" s="51">
        <f>INDEX('Auto Feed'!$F$2:$F$139,MATCH($B3,'Auto Feed'!$A$2:$A$139,0))</f>
        <v/>
      </c>
      <c r="I3" s="51">
        <f>INDEX('Auto Feed'!$G$2:$G$139,MATCH($B3,'Auto Feed'!$A$2:$A$139,0))</f>
        <v/>
      </c>
      <c r="J3" s="51">
        <f>INDEX('Auto Feed'!$H$2:$H$139,MATCH($B3,'Auto Feed'!$A$2:$A$139,0))</f>
        <v/>
      </c>
      <c r="K3" s="32">
        <f>((G3-AVERAGE('Auto Feed'!$E$2:$E$139))/STDEV('Auto Feed'!$E$2:$E$139))+((H3-AVERAGE('Auto Feed'!$F$2:$F$139))/STDEV('Auto Feed'!$F$2:$F$139))+((I3-AVERAGE('Auto Feed'!$G$2:$G$139))/STDEV('Auto Feed'!$G$2:$G$139))-((J3-AVERAGE('Auto Feed'!$H$2:$H$139))/STDEV('Auto Feed'!$H$2:$H$139))</f>
        <v/>
      </c>
      <c r="L3" s="31">
        <f>((E3-AVERAGE('Auto Feed'!$C$2:$C$139))/STDEV('Auto Feed'!$C$2:$C$139))*'Weights &amp; Params'!$B$14</f>
        <v/>
      </c>
      <c r="M3" s="31">
        <f>((F3-AVERAGE('Auto Feed'!$D$2:$D$139))/STDEV('Auto Feed'!$D$2:$D$139))*'Weights &amp; Params'!$B$14</f>
        <v/>
      </c>
      <c r="N3" s="31">
        <f>((K3-AVERAGE($K$2:$K$139))/STDEV($K$2:$K$139))*'Weights &amp; Params'!$B$14</f>
        <v/>
      </c>
      <c r="O3" s="33">
        <f>'Weights &amp; Params'!$B$5*D3+'Weights &amp; Params'!$B$6*L3+'Weights &amp; Params'!$B$7*M3+'Weights &amp; Params'!$B$8*N3+'Weights &amp; Params'!$B$17*S3</f>
        <v/>
      </c>
      <c r="P3" s="54">
        <f>INDEX('Auto Feed'!$I$2:$I$139,MATCH($B3,'Auto Feed'!$A$2:$A$139,0))</f>
        <v/>
      </c>
      <c r="Q3" s="54">
        <f>INDEX('Auto Feed'!$J$2:$J$139,MATCH($B3,'Auto Feed'!$A$2:$A$139,0))</f>
        <v/>
      </c>
      <c r="R3" s="54">
        <f>((P3-AVERAGE('Auto Feed'!$I$2:$I$139))/STDEV('Auto Feed'!$I$2:$I$139))-((Q3-AVERAGE('Auto Feed'!$J$2:$J$139))/STDEV('Auto Feed'!$J$2:$J$139))</f>
        <v/>
      </c>
      <c r="S3" s="54">
        <f>((R3-AVERAGE($R$2:$R$139))/STDEV($R$2:$R$139))*'Weights &amp; Params'!$B$14</f>
        <v/>
      </c>
    </row>
    <row r="4">
      <c r="A4" s="12">
        <f>RANK(O4,$O$2:$O$139,0)</f>
        <v/>
      </c>
      <c r="B4" s="30" t="inlineStr">
        <is>
          <t>Alabama</t>
        </is>
      </c>
      <c r="C4" s="23">
        <f>INDEX('Auto Feed'!$B$2:$B$139,MATCH($B4,'Auto Feed'!$A$2:$A$139,0))</f>
        <v/>
      </c>
      <c r="D4" s="31">
        <f>INDEX('Weekly Input'!$B$2:$B$139,MATCH($B4,'Weekly Input'!$A$2:$A$139,0))</f>
        <v/>
      </c>
      <c r="E4" s="31">
        <f>INDEX('Auto Feed'!$C$2:$C$139,MATCH($B4,'Auto Feed'!$A$2:$A$139,0))</f>
        <v/>
      </c>
      <c r="F4" s="31">
        <f>INDEX('Auto Feed'!$D$2:$D$139,MATCH($B4,'Auto Feed'!$A$2:$A$139,0))</f>
        <v/>
      </c>
      <c r="G4" s="51">
        <f>INDEX('Auto Feed'!$E$2:$E$139,MATCH($B4,'Auto Feed'!$A$2:$A$139,0))</f>
        <v/>
      </c>
      <c r="H4" s="51">
        <f>INDEX('Auto Feed'!$F$2:$F$139,MATCH($B4,'Auto Feed'!$A$2:$A$139,0))</f>
        <v/>
      </c>
      <c r="I4" s="51">
        <f>INDEX('Auto Feed'!$G$2:$G$139,MATCH($B4,'Auto Feed'!$A$2:$A$139,0))</f>
        <v/>
      </c>
      <c r="J4" s="51">
        <f>INDEX('Auto Feed'!$H$2:$H$139,MATCH($B4,'Auto Feed'!$A$2:$A$139,0))</f>
        <v/>
      </c>
      <c r="K4" s="32">
        <f>((G4-AVERAGE('Auto Feed'!$E$2:$E$139))/STDEV('Auto Feed'!$E$2:$E$139))+((H4-AVERAGE('Auto Feed'!$F$2:$F$139))/STDEV('Auto Feed'!$F$2:$F$139))+((I4-AVERAGE('Auto Feed'!$G$2:$G$139))/STDEV('Auto Feed'!$G$2:$G$139))-((J4-AVERAGE('Auto Feed'!$H$2:$H$139))/STDEV('Auto Feed'!$H$2:$H$139))</f>
        <v/>
      </c>
      <c r="L4" s="31">
        <f>((E4-AVERAGE('Auto Feed'!$C$2:$C$139))/STDEV('Auto Feed'!$C$2:$C$139))*'Weights &amp; Params'!$B$14</f>
        <v/>
      </c>
      <c r="M4" s="31">
        <f>((F4-AVERAGE('Auto Feed'!$D$2:$D$139))/STDEV('Auto Feed'!$D$2:$D$139))*'Weights &amp; Params'!$B$14</f>
        <v/>
      </c>
      <c r="N4" s="31">
        <f>((K4-AVERAGE($K$2:$K$139))/STDEV($K$2:$K$139))*'Weights &amp; Params'!$B$14</f>
        <v/>
      </c>
      <c r="O4" s="33">
        <f>'Weights &amp; Params'!$B$5*D4+'Weights &amp; Params'!$B$6*L4+'Weights &amp; Params'!$B$7*M4+'Weights &amp; Params'!$B$8*N4+'Weights &amp; Params'!$B$17*S4</f>
        <v/>
      </c>
      <c r="P4" s="54">
        <f>INDEX('Auto Feed'!$I$2:$I$139,MATCH($B4,'Auto Feed'!$A$2:$A$139,0))</f>
        <v/>
      </c>
      <c r="Q4" s="54">
        <f>INDEX('Auto Feed'!$J$2:$J$139,MATCH($B4,'Auto Feed'!$A$2:$A$139,0))</f>
        <v/>
      </c>
      <c r="R4" s="54">
        <f>((P4-AVERAGE('Auto Feed'!$I$2:$I$139))/STDEV('Auto Feed'!$I$2:$I$139))-((Q4-AVERAGE('Auto Feed'!$J$2:$J$139))/STDEV('Auto Feed'!$J$2:$J$139))</f>
        <v/>
      </c>
      <c r="S4" s="54">
        <f>((R4-AVERAGE($R$2:$R$139))/STDEV($R$2:$R$139))*'Weights &amp; Params'!$B$14</f>
        <v/>
      </c>
    </row>
    <row r="5">
      <c r="A5" s="12">
        <f>RANK(O5,$O$2:$O$139,0)</f>
        <v/>
      </c>
      <c r="B5" s="30" t="inlineStr">
        <is>
          <t>Appalachian State</t>
        </is>
      </c>
      <c r="C5" s="23">
        <f>INDEX('Auto Feed'!$B$2:$B$139,MATCH($B5,'Auto Feed'!$A$2:$A$139,0))</f>
        <v/>
      </c>
      <c r="D5" s="31">
        <f>INDEX('Weekly Input'!$B$2:$B$139,MATCH($B5,'Weekly Input'!$A$2:$A$139,0))</f>
        <v/>
      </c>
      <c r="E5" s="31">
        <f>INDEX('Auto Feed'!$C$2:$C$139,MATCH($B5,'Auto Feed'!$A$2:$A$139,0))</f>
        <v/>
      </c>
      <c r="F5" s="31">
        <f>INDEX('Auto Feed'!$D$2:$D$139,MATCH($B5,'Auto Feed'!$A$2:$A$139,0))</f>
        <v/>
      </c>
      <c r="G5" s="51">
        <f>INDEX('Auto Feed'!$E$2:$E$139,MATCH($B5,'Auto Feed'!$A$2:$A$139,0))</f>
        <v/>
      </c>
      <c r="H5" s="51">
        <f>INDEX('Auto Feed'!$F$2:$F$139,MATCH($B5,'Auto Feed'!$A$2:$A$139,0))</f>
        <v/>
      </c>
      <c r="I5" s="51">
        <f>INDEX('Auto Feed'!$G$2:$G$139,MATCH($B5,'Auto Feed'!$A$2:$A$139,0))</f>
        <v/>
      </c>
      <c r="J5" s="51">
        <f>INDEX('Auto Feed'!$H$2:$H$139,MATCH($B5,'Auto Feed'!$A$2:$A$139,0))</f>
        <v/>
      </c>
      <c r="K5" s="32">
        <f>((G5-AVERAGE('Auto Feed'!$E$2:$E$139))/STDEV('Auto Feed'!$E$2:$E$139))+((H5-AVERAGE('Auto Feed'!$F$2:$F$139))/STDEV('Auto Feed'!$F$2:$F$139))+((I5-AVERAGE('Auto Feed'!$G$2:$G$139))/STDEV('Auto Feed'!$G$2:$G$139))-((J5-AVERAGE('Auto Feed'!$H$2:$H$139))/STDEV('Auto Feed'!$H$2:$H$139))</f>
        <v/>
      </c>
      <c r="L5" s="31">
        <f>((E5-AVERAGE('Auto Feed'!$C$2:$C$139))/STDEV('Auto Feed'!$C$2:$C$139))*'Weights &amp; Params'!$B$14</f>
        <v/>
      </c>
      <c r="M5" s="31">
        <f>((F5-AVERAGE('Auto Feed'!$D$2:$D$139))/STDEV('Auto Feed'!$D$2:$D$139))*'Weights &amp; Params'!$B$14</f>
        <v/>
      </c>
      <c r="N5" s="31">
        <f>((K5-AVERAGE($K$2:$K$139))/STDEV($K$2:$K$139))*'Weights &amp; Params'!$B$14</f>
        <v/>
      </c>
      <c r="O5" s="33">
        <f>'Weights &amp; Params'!$B$5*D5+'Weights &amp; Params'!$B$6*L5+'Weights &amp; Params'!$B$7*M5+'Weights &amp; Params'!$B$8*N5+'Weights &amp; Params'!$B$17*S5</f>
        <v/>
      </c>
      <c r="P5" s="54">
        <f>INDEX('Auto Feed'!$I$2:$I$139,MATCH($B5,'Auto Feed'!$A$2:$A$139,0))</f>
        <v/>
      </c>
      <c r="Q5" s="54">
        <f>INDEX('Auto Feed'!$J$2:$J$139,MATCH($B5,'Auto Feed'!$A$2:$A$139,0))</f>
        <v/>
      </c>
      <c r="R5" s="54">
        <f>((P5-AVERAGE('Auto Feed'!$I$2:$I$139))/STDEV('Auto Feed'!$I$2:$I$139))-((Q5-AVERAGE('Auto Feed'!$J$2:$J$139))/STDEV('Auto Feed'!$J$2:$J$139))</f>
        <v/>
      </c>
      <c r="S5" s="54">
        <f>((R5-AVERAGE($R$2:$R$139))/STDEV($R$2:$R$139))*'Weights &amp; Params'!$B$14</f>
        <v/>
      </c>
    </row>
    <row r="6">
      <c r="A6" s="12">
        <f>RANK(O6,$O$2:$O$139,0)</f>
        <v/>
      </c>
      <c r="B6" s="30" t="inlineStr">
        <is>
          <t>Arizona</t>
        </is>
      </c>
      <c r="C6" s="23">
        <f>INDEX('Auto Feed'!$B$2:$B$139,MATCH($B6,'Auto Feed'!$A$2:$A$139,0))</f>
        <v/>
      </c>
      <c r="D6" s="31">
        <f>INDEX('Weekly Input'!$B$2:$B$139,MATCH($B6,'Weekly Input'!$A$2:$A$139,0))</f>
        <v/>
      </c>
      <c r="E6" s="31">
        <f>INDEX('Auto Feed'!$C$2:$C$139,MATCH($B6,'Auto Feed'!$A$2:$A$139,0))</f>
        <v/>
      </c>
      <c r="F6" s="31">
        <f>INDEX('Auto Feed'!$D$2:$D$139,MATCH($B6,'Auto Feed'!$A$2:$A$139,0))</f>
        <v/>
      </c>
      <c r="G6" s="51">
        <f>INDEX('Auto Feed'!$E$2:$E$139,MATCH($B6,'Auto Feed'!$A$2:$A$139,0))</f>
        <v/>
      </c>
      <c r="H6" s="51">
        <f>INDEX('Auto Feed'!$F$2:$F$139,MATCH($B6,'Auto Feed'!$A$2:$A$139,0))</f>
        <v/>
      </c>
      <c r="I6" s="51">
        <f>INDEX('Auto Feed'!$G$2:$G$139,MATCH($B6,'Auto Feed'!$A$2:$A$139,0))</f>
        <v/>
      </c>
      <c r="J6" s="51">
        <f>INDEX('Auto Feed'!$H$2:$H$139,MATCH($B6,'Auto Feed'!$A$2:$A$139,0))</f>
        <v/>
      </c>
      <c r="K6" s="32">
        <f>((G6-AVERAGE('Auto Feed'!$E$2:$E$139))/STDEV('Auto Feed'!$E$2:$E$139))+((H6-AVERAGE('Auto Feed'!$F$2:$F$139))/STDEV('Auto Feed'!$F$2:$F$139))+((I6-AVERAGE('Auto Feed'!$G$2:$G$139))/STDEV('Auto Feed'!$G$2:$G$139))-((J6-AVERAGE('Auto Feed'!$H$2:$H$139))/STDEV('Auto Feed'!$H$2:$H$139))</f>
        <v/>
      </c>
      <c r="L6" s="31">
        <f>((E6-AVERAGE('Auto Feed'!$C$2:$C$139))/STDEV('Auto Feed'!$C$2:$C$139))*'Weights &amp; Params'!$B$14</f>
        <v/>
      </c>
      <c r="M6" s="31">
        <f>((F6-AVERAGE('Auto Feed'!$D$2:$D$139))/STDEV('Auto Feed'!$D$2:$D$139))*'Weights &amp; Params'!$B$14</f>
        <v/>
      </c>
      <c r="N6" s="31">
        <f>((K6-AVERAGE($K$2:$K$139))/STDEV($K$2:$K$139))*'Weights &amp; Params'!$B$14</f>
        <v/>
      </c>
      <c r="O6" s="33">
        <f>'Weights &amp; Params'!$B$5*D6+'Weights &amp; Params'!$B$6*L6+'Weights &amp; Params'!$B$7*M6+'Weights &amp; Params'!$B$8*N6+'Weights &amp; Params'!$B$17*S6</f>
        <v/>
      </c>
      <c r="P6" s="54">
        <f>INDEX('Auto Feed'!$I$2:$I$139,MATCH($B6,'Auto Feed'!$A$2:$A$139,0))</f>
        <v/>
      </c>
      <c r="Q6" s="54">
        <f>INDEX('Auto Feed'!$J$2:$J$139,MATCH($B6,'Auto Feed'!$A$2:$A$139,0))</f>
        <v/>
      </c>
      <c r="R6" s="54">
        <f>((P6-AVERAGE('Auto Feed'!$I$2:$I$139))/STDEV('Auto Feed'!$I$2:$I$139))-((Q6-AVERAGE('Auto Feed'!$J$2:$J$139))/STDEV('Auto Feed'!$J$2:$J$139))</f>
        <v/>
      </c>
      <c r="S6" s="54">
        <f>((R6-AVERAGE($R$2:$R$139))/STDEV($R$2:$R$139))*'Weights &amp; Params'!$B$14</f>
        <v/>
      </c>
    </row>
    <row r="7">
      <c r="A7" s="12">
        <f>RANK(O7,$O$2:$O$139,0)</f>
        <v/>
      </c>
      <c r="B7" s="30" t="inlineStr">
        <is>
          <t>Arizona State</t>
        </is>
      </c>
      <c r="C7" s="23">
        <f>INDEX('Auto Feed'!$B$2:$B$139,MATCH($B7,'Auto Feed'!$A$2:$A$139,0))</f>
        <v/>
      </c>
      <c r="D7" s="31">
        <f>INDEX('Weekly Input'!$B$2:$B$139,MATCH($B7,'Weekly Input'!$A$2:$A$139,0))</f>
        <v/>
      </c>
      <c r="E7" s="31">
        <f>INDEX('Auto Feed'!$C$2:$C$139,MATCH($B7,'Auto Feed'!$A$2:$A$139,0))</f>
        <v/>
      </c>
      <c r="F7" s="31">
        <f>INDEX('Auto Feed'!$D$2:$D$139,MATCH($B7,'Auto Feed'!$A$2:$A$139,0))</f>
        <v/>
      </c>
      <c r="G7" s="51">
        <f>INDEX('Auto Feed'!$E$2:$E$139,MATCH($B7,'Auto Feed'!$A$2:$A$139,0))</f>
        <v/>
      </c>
      <c r="H7" s="51">
        <f>INDEX('Auto Feed'!$F$2:$F$139,MATCH($B7,'Auto Feed'!$A$2:$A$139,0))</f>
        <v/>
      </c>
      <c r="I7" s="51">
        <f>INDEX('Auto Feed'!$G$2:$G$139,MATCH($B7,'Auto Feed'!$A$2:$A$139,0))</f>
        <v/>
      </c>
      <c r="J7" s="51">
        <f>INDEX('Auto Feed'!$H$2:$H$139,MATCH($B7,'Auto Feed'!$A$2:$A$139,0))</f>
        <v/>
      </c>
      <c r="K7" s="32">
        <f>((G7-AVERAGE('Auto Feed'!$E$2:$E$139))/STDEV('Auto Feed'!$E$2:$E$139))+((H7-AVERAGE('Auto Feed'!$F$2:$F$139))/STDEV('Auto Feed'!$F$2:$F$139))+((I7-AVERAGE('Auto Feed'!$G$2:$G$139))/STDEV('Auto Feed'!$G$2:$G$139))-((J7-AVERAGE('Auto Feed'!$H$2:$H$139))/STDEV('Auto Feed'!$H$2:$H$139))</f>
        <v/>
      </c>
      <c r="L7" s="31">
        <f>((E7-AVERAGE('Auto Feed'!$C$2:$C$139))/STDEV('Auto Feed'!$C$2:$C$139))*'Weights &amp; Params'!$B$14</f>
        <v/>
      </c>
      <c r="M7" s="31">
        <f>((F7-AVERAGE('Auto Feed'!$D$2:$D$139))/STDEV('Auto Feed'!$D$2:$D$139))*'Weights &amp; Params'!$B$14</f>
        <v/>
      </c>
      <c r="N7" s="31">
        <f>((K7-AVERAGE($K$2:$K$139))/STDEV($K$2:$K$139))*'Weights &amp; Params'!$B$14</f>
        <v/>
      </c>
      <c r="O7" s="33">
        <f>'Weights &amp; Params'!$B$5*D7+'Weights &amp; Params'!$B$6*L7+'Weights &amp; Params'!$B$7*M7+'Weights &amp; Params'!$B$8*N7+'Weights &amp; Params'!$B$17*S7</f>
        <v/>
      </c>
      <c r="P7" s="54">
        <f>INDEX('Auto Feed'!$I$2:$I$139,MATCH($B7,'Auto Feed'!$A$2:$A$139,0))</f>
        <v/>
      </c>
      <c r="Q7" s="54">
        <f>INDEX('Auto Feed'!$J$2:$J$139,MATCH($B7,'Auto Feed'!$A$2:$A$139,0))</f>
        <v/>
      </c>
      <c r="R7" s="54">
        <f>((P7-AVERAGE('Auto Feed'!$I$2:$I$139))/STDEV('Auto Feed'!$I$2:$I$139))-((Q7-AVERAGE('Auto Feed'!$J$2:$J$139))/STDEV('Auto Feed'!$J$2:$J$139))</f>
        <v/>
      </c>
      <c r="S7" s="54">
        <f>((R7-AVERAGE($R$2:$R$139))/STDEV($R$2:$R$139))*'Weights &amp; Params'!$B$14</f>
        <v/>
      </c>
    </row>
    <row r="8">
      <c r="A8" s="12">
        <f>RANK(O8,$O$2:$O$139,0)</f>
        <v/>
      </c>
      <c r="B8" s="30" t="inlineStr">
        <is>
          <t>Arkansas</t>
        </is>
      </c>
      <c r="C8" s="23">
        <f>INDEX('Auto Feed'!$B$2:$B$139,MATCH($B8,'Auto Feed'!$A$2:$A$139,0))</f>
        <v/>
      </c>
      <c r="D8" s="31">
        <f>INDEX('Weekly Input'!$B$2:$B$139,MATCH($B8,'Weekly Input'!$A$2:$A$139,0))</f>
        <v/>
      </c>
      <c r="E8" s="31">
        <f>INDEX('Auto Feed'!$C$2:$C$139,MATCH($B8,'Auto Feed'!$A$2:$A$139,0))</f>
        <v/>
      </c>
      <c r="F8" s="31">
        <f>INDEX('Auto Feed'!$D$2:$D$139,MATCH($B8,'Auto Feed'!$A$2:$A$139,0))</f>
        <v/>
      </c>
      <c r="G8" s="51">
        <f>INDEX('Auto Feed'!$E$2:$E$139,MATCH($B8,'Auto Feed'!$A$2:$A$139,0))</f>
        <v/>
      </c>
      <c r="H8" s="51">
        <f>INDEX('Auto Feed'!$F$2:$F$139,MATCH($B8,'Auto Feed'!$A$2:$A$139,0))</f>
        <v/>
      </c>
      <c r="I8" s="51">
        <f>INDEX('Auto Feed'!$G$2:$G$139,MATCH($B8,'Auto Feed'!$A$2:$A$139,0))</f>
        <v/>
      </c>
      <c r="J8" s="51">
        <f>INDEX('Auto Feed'!$H$2:$H$139,MATCH($B8,'Auto Feed'!$A$2:$A$139,0))</f>
        <v/>
      </c>
      <c r="K8" s="32">
        <f>((G8-AVERAGE('Auto Feed'!$E$2:$E$139))/STDEV('Auto Feed'!$E$2:$E$139))+((H8-AVERAGE('Auto Feed'!$F$2:$F$139))/STDEV('Auto Feed'!$F$2:$F$139))+((I8-AVERAGE('Auto Feed'!$G$2:$G$139))/STDEV('Auto Feed'!$G$2:$G$139))-((J8-AVERAGE('Auto Feed'!$H$2:$H$139))/STDEV('Auto Feed'!$H$2:$H$139))</f>
        <v/>
      </c>
      <c r="L8" s="31">
        <f>((E8-AVERAGE('Auto Feed'!$C$2:$C$139))/STDEV('Auto Feed'!$C$2:$C$139))*'Weights &amp; Params'!$B$14</f>
        <v/>
      </c>
      <c r="M8" s="31">
        <f>((F8-AVERAGE('Auto Feed'!$D$2:$D$139))/STDEV('Auto Feed'!$D$2:$D$139))*'Weights &amp; Params'!$B$14</f>
        <v/>
      </c>
      <c r="N8" s="31">
        <f>((K8-AVERAGE($K$2:$K$139))/STDEV($K$2:$K$139))*'Weights &amp; Params'!$B$14</f>
        <v/>
      </c>
      <c r="O8" s="33">
        <f>'Weights &amp; Params'!$B$5*D8+'Weights &amp; Params'!$B$6*L8+'Weights &amp; Params'!$B$7*M8+'Weights &amp; Params'!$B$8*N8+'Weights &amp; Params'!$B$17*S8</f>
        <v/>
      </c>
      <c r="P8" s="54">
        <f>INDEX('Auto Feed'!$I$2:$I$139,MATCH($B8,'Auto Feed'!$A$2:$A$139,0))</f>
        <v/>
      </c>
      <c r="Q8" s="54">
        <f>INDEX('Auto Feed'!$J$2:$J$139,MATCH($B8,'Auto Feed'!$A$2:$A$139,0))</f>
        <v/>
      </c>
      <c r="R8" s="54">
        <f>((P8-AVERAGE('Auto Feed'!$I$2:$I$139))/STDEV('Auto Feed'!$I$2:$I$139))-((Q8-AVERAGE('Auto Feed'!$J$2:$J$139))/STDEV('Auto Feed'!$J$2:$J$139))</f>
        <v/>
      </c>
      <c r="S8" s="54">
        <f>((R8-AVERAGE($R$2:$R$139))/STDEV($R$2:$R$139))*'Weights &amp; Params'!$B$14</f>
        <v/>
      </c>
    </row>
    <row r="9">
      <c r="A9" s="12">
        <f>RANK(O9,$O$2:$O$139,0)</f>
        <v/>
      </c>
      <c r="B9" s="30" t="inlineStr">
        <is>
          <t>Arkansas State</t>
        </is>
      </c>
      <c r="C9" s="23">
        <f>INDEX('Auto Feed'!$B$2:$B$139,MATCH($B9,'Auto Feed'!$A$2:$A$139,0))</f>
        <v/>
      </c>
      <c r="D9" s="31">
        <f>INDEX('Weekly Input'!$B$2:$B$139,MATCH($B9,'Weekly Input'!$A$2:$A$139,0))</f>
        <v/>
      </c>
      <c r="E9" s="31">
        <f>INDEX('Auto Feed'!$C$2:$C$139,MATCH($B9,'Auto Feed'!$A$2:$A$139,0))</f>
        <v/>
      </c>
      <c r="F9" s="31">
        <f>INDEX('Auto Feed'!$D$2:$D$139,MATCH($B9,'Auto Feed'!$A$2:$A$139,0))</f>
        <v/>
      </c>
      <c r="G9" s="51">
        <f>INDEX('Auto Feed'!$E$2:$E$139,MATCH($B9,'Auto Feed'!$A$2:$A$139,0))</f>
        <v/>
      </c>
      <c r="H9" s="51">
        <f>INDEX('Auto Feed'!$F$2:$F$139,MATCH($B9,'Auto Feed'!$A$2:$A$139,0))</f>
        <v/>
      </c>
      <c r="I9" s="51">
        <f>INDEX('Auto Feed'!$G$2:$G$139,MATCH($B9,'Auto Feed'!$A$2:$A$139,0))</f>
        <v/>
      </c>
      <c r="J9" s="51">
        <f>INDEX('Auto Feed'!$H$2:$H$139,MATCH($B9,'Auto Feed'!$A$2:$A$139,0))</f>
        <v/>
      </c>
      <c r="K9" s="32">
        <f>((G9-AVERAGE('Auto Feed'!$E$2:$E$139))/STDEV('Auto Feed'!$E$2:$E$139))+((H9-AVERAGE('Auto Feed'!$F$2:$F$139))/STDEV('Auto Feed'!$F$2:$F$139))+((I9-AVERAGE('Auto Feed'!$G$2:$G$139))/STDEV('Auto Feed'!$G$2:$G$139))-((J9-AVERAGE('Auto Feed'!$H$2:$H$139))/STDEV('Auto Feed'!$H$2:$H$139))</f>
        <v/>
      </c>
      <c r="L9" s="31">
        <f>((E9-AVERAGE('Auto Feed'!$C$2:$C$139))/STDEV('Auto Feed'!$C$2:$C$139))*'Weights &amp; Params'!$B$14</f>
        <v/>
      </c>
      <c r="M9" s="31">
        <f>((F9-AVERAGE('Auto Feed'!$D$2:$D$139))/STDEV('Auto Feed'!$D$2:$D$139))*'Weights &amp; Params'!$B$14</f>
        <v/>
      </c>
      <c r="N9" s="31">
        <f>((K9-AVERAGE($K$2:$K$139))/STDEV($K$2:$K$139))*'Weights &amp; Params'!$B$14</f>
        <v/>
      </c>
      <c r="O9" s="33">
        <f>'Weights &amp; Params'!$B$5*D9+'Weights &amp; Params'!$B$6*L9+'Weights &amp; Params'!$B$7*M9+'Weights &amp; Params'!$B$8*N9+'Weights &amp; Params'!$B$17*S9</f>
        <v/>
      </c>
      <c r="P9" s="54">
        <f>INDEX('Auto Feed'!$I$2:$I$139,MATCH($B9,'Auto Feed'!$A$2:$A$139,0))</f>
        <v/>
      </c>
      <c r="Q9" s="54">
        <f>INDEX('Auto Feed'!$J$2:$J$139,MATCH($B9,'Auto Feed'!$A$2:$A$139,0))</f>
        <v/>
      </c>
      <c r="R9" s="54">
        <f>((P9-AVERAGE('Auto Feed'!$I$2:$I$139))/STDEV('Auto Feed'!$I$2:$I$139))-((Q9-AVERAGE('Auto Feed'!$J$2:$J$139))/STDEV('Auto Feed'!$J$2:$J$139))</f>
        <v/>
      </c>
      <c r="S9" s="54">
        <f>((R9-AVERAGE($R$2:$R$139))/STDEV($R$2:$R$139))*'Weights &amp; Params'!$B$14</f>
        <v/>
      </c>
    </row>
    <row r="10">
      <c r="A10" s="12">
        <f>RANK(O10,$O$2:$O$139,0)</f>
        <v/>
      </c>
      <c r="B10" s="30" t="inlineStr">
        <is>
          <t>Army</t>
        </is>
      </c>
      <c r="C10" s="23">
        <f>INDEX('Auto Feed'!$B$2:$B$139,MATCH($B10,'Auto Feed'!$A$2:$A$139,0))</f>
        <v/>
      </c>
      <c r="D10" s="31">
        <f>INDEX('Weekly Input'!$B$2:$B$139,MATCH($B10,'Weekly Input'!$A$2:$A$139,0))</f>
        <v/>
      </c>
      <c r="E10" s="31">
        <f>INDEX('Auto Feed'!$C$2:$C$139,MATCH($B10,'Auto Feed'!$A$2:$A$139,0))</f>
        <v/>
      </c>
      <c r="F10" s="31">
        <f>INDEX('Auto Feed'!$D$2:$D$139,MATCH($B10,'Auto Feed'!$A$2:$A$139,0))</f>
        <v/>
      </c>
      <c r="G10" s="51">
        <f>INDEX('Auto Feed'!$E$2:$E$139,MATCH($B10,'Auto Feed'!$A$2:$A$139,0))</f>
        <v/>
      </c>
      <c r="H10" s="51">
        <f>INDEX('Auto Feed'!$F$2:$F$139,MATCH($B10,'Auto Feed'!$A$2:$A$139,0))</f>
        <v/>
      </c>
      <c r="I10" s="51">
        <f>INDEX('Auto Feed'!$G$2:$G$139,MATCH($B10,'Auto Feed'!$A$2:$A$139,0))</f>
        <v/>
      </c>
      <c r="J10" s="51">
        <f>INDEX('Auto Feed'!$H$2:$H$139,MATCH($B10,'Auto Feed'!$A$2:$A$139,0))</f>
        <v/>
      </c>
      <c r="K10" s="32">
        <f>((G10-AVERAGE('Auto Feed'!$E$2:$E$139))/STDEV('Auto Feed'!$E$2:$E$139))+((H10-AVERAGE('Auto Feed'!$F$2:$F$139))/STDEV('Auto Feed'!$F$2:$F$139))+((I10-AVERAGE('Auto Feed'!$G$2:$G$139))/STDEV('Auto Feed'!$G$2:$G$139))-((J10-AVERAGE('Auto Feed'!$H$2:$H$139))/STDEV('Auto Feed'!$H$2:$H$139))</f>
        <v/>
      </c>
      <c r="L10" s="31">
        <f>((E10-AVERAGE('Auto Feed'!$C$2:$C$139))/STDEV('Auto Feed'!$C$2:$C$139))*'Weights &amp; Params'!$B$14</f>
        <v/>
      </c>
      <c r="M10" s="31">
        <f>((F10-AVERAGE('Auto Feed'!$D$2:$D$139))/STDEV('Auto Feed'!$D$2:$D$139))*'Weights &amp; Params'!$B$14</f>
        <v/>
      </c>
      <c r="N10" s="31">
        <f>((K10-AVERAGE($K$2:$K$139))/STDEV($K$2:$K$139))*'Weights &amp; Params'!$B$14</f>
        <v/>
      </c>
      <c r="O10" s="33">
        <f>'Weights &amp; Params'!$B$5*D10+'Weights &amp; Params'!$B$6*L10+'Weights &amp; Params'!$B$7*M10+'Weights &amp; Params'!$B$8*N10+'Weights &amp; Params'!$B$17*S10</f>
        <v/>
      </c>
      <c r="P10" s="54">
        <f>INDEX('Auto Feed'!$I$2:$I$139,MATCH($B10,'Auto Feed'!$A$2:$A$139,0))</f>
        <v/>
      </c>
      <c r="Q10" s="54">
        <f>INDEX('Auto Feed'!$J$2:$J$139,MATCH($B10,'Auto Feed'!$A$2:$A$139,0))</f>
        <v/>
      </c>
      <c r="R10" s="54">
        <f>((P10-AVERAGE('Auto Feed'!$I$2:$I$139))/STDEV('Auto Feed'!$I$2:$I$139))-((Q10-AVERAGE('Auto Feed'!$J$2:$J$139))/STDEV('Auto Feed'!$J$2:$J$139))</f>
        <v/>
      </c>
      <c r="S10" s="54">
        <f>((R10-AVERAGE($R$2:$R$139))/STDEV($R$2:$R$139))*'Weights &amp; Params'!$B$14</f>
        <v/>
      </c>
    </row>
    <row r="11">
      <c r="A11" s="12">
        <f>RANK(O11,$O$2:$O$139,0)</f>
        <v/>
      </c>
      <c r="B11" s="30" t="inlineStr">
        <is>
          <t>Auburn</t>
        </is>
      </c>
      <c r="C11" s="23">
        <f>INDEX('Auto Feed'!$B$2:$B$139,MATCH($B11,'Auto Feed'!$A$2:$A$139,0))</f>
        <v/>
      </c>
      <c r="D11" s="31">
        <f>INDEX('Weekly Input'!$B$2:$B$139,MATCH($B11,'Weekly Input'!$A$2:$A$139,0))</f>
        <v/>
      </c>
      <c r="E11" s="31">
        <f>INDEX('Auto Feed'!$C$2:$C$139,MATCH($B11,'Auto Feed'!$A$2:$A$139,0))</f>
        <v/>
      </c>
      <c r="F11" s="31">
        <f>INDEX('Auto Feed'!$D$2:$D$139,MATCH($B11,'Auto Feed'!$A$2:$A$139,0))</f>
        <v/>
      </c>
      <c r="G11" s="51">
        <f>INDEX('Auto Feed'!$E$2:$E$139,MATCH($B11,'Auto Feed'!$A$2:$A$139,0))</f>
        <v/>
      </c>
      <c r="H11" s="51">
        <f>INDEX('Auto Feed'!$F$2:$F$139,MATCH($B11,'Auto Feed'!$A$2:$A$139,0))</f>
        <v/>
      </c>
      <c r="I11" s="51">
        <f>INDEX('Auto Feed'!$G$2:$G$139,MATCH($B11,'Auto Feed'!$A$2:$A$139,0))</f>
        <v/>
      </c>
      <c r="J11" s="51">
        <f>INDEX('Auto Feed'!$H$2:$H$139,MATCH($B11,'Auto Feed'!$A$2:$A$139,0))</f>
        <v/>
      </c>
      <c r="K11" s="32">
        <f>((G11-AVERAGE('Auto Feed'!$E$2:$E$139))/STDEV('Auto Feed'!$E$2:$E$139))+((H11-AVERAGE('Auto Feed'!$F$2:$F$139))/STDEV('Auto Feed'!$F$2:$F$139))+((I11-AVERAGE('Auto Feed'!$G$2:$G$139))/STDEV('Auto Feed'!$G$2:$G$139))-((J11-AVERAGE('Auto Feed'!$H$2:$H$139))/STDEV('Auto Feed'!$H$2:$H$139))</f>
        <v/>
      </c>
      <c r="L11" s="31">
        <f>((E11-AVERAGE('Auto Feed'!$C$2:$C$139))/STDEV('Auto Feed'!$C$2:$C$139))*'Weights &amp; Params'!$B$14</f>
        <v/>
      </c>
      <c r="M11" s="31">
        <f>((F11-AVERAGE('Auto Feed'!$D$2:$D$139))/STDEV('Auto Feed'!$D$2:$D$139))*'Weights &amp; Params'!$B$14</f>
        <v/>
      </c>
      <c r="N11" s="31">
        <f>((K11-AVERAGE($K$2:$K$139))/STDEV($K$2:$K$139))*'Weights &amp; Params'!$B$14</f>
        <v/>
      </c>
      <c r="O11" s="33">
        <f>'Weights &amp; Params'!$B$5*D11+'Weights &amp; Params'!$B$6*L11+'Weights &amp; Params'!$B$7*M11+'Weights &amp; Params'!$B$8*N11+'Weights &amp; Params'!$B$17*S11</f>
        <v/>
      </c>
      <c r="P11" s="54">
        <f>INDEX('Auto Feed'!$I$2:$I$139,MATCH($B11,'Auto Feed'!$A$2:$A$139,0))</f>
        <v/>
      </c>
      <c r="Q11" s="54">
        <f>INDEX('Auto Feed'!$J$2:$J$139,MATCH($B11,'Auto Feed'!$A$2:$A$139,0))</f>
        <v/>
      </c>
      <c r="R11" s="54">
        <f>((P11-AVERAGE('Auto Feed'!$I$2:$I$139))/STDEV('Auto Feed'!$I$2:$I$139))-((Q11-AVERAGE('Auto Feed'!$J$2:$J$139))/STDEV('Auto Feed'!$J$2:$J$139))</f>
        <v/>
      </c>
      <c r="S11" s="54">
        <f>((R11-AVERAGE($R$2:$R$139))/STDEV($R$2:$R$139))*'Weights &amp; Params'!$B$14</f>
        <v/>
      </c>
    </row>
    <row r="12">
      <c r="A12" s="12">
        <f>RANK(O12,$O$2:$O$139,0)</f>
        <v/>
      </c>
      <c r="B12" s="30" t="inlineStr">
        <is>
          <t>BYU</t>
        </is>
      </c>
      <c r="C12" s="23">
        <f>INDEX('Auto Feed'!$B$2:$B$139,MATCH($B12,'Auto Feed'!$A$2:$A$139,0))</f>
        <v/>
      </c>
      <c r="D12" s="31">
        <f>INDEX('Weekly Input'!$B$2:$B$139,MATCH($B12,'Weekly Input'!$A$2:$A$139,0))</f>
        <v/>
      </c>
      <c r="E12" s="31">
        <f>INDEX('Auto Feed'!$C$2:$C$139,MATCH($B12,'Auto Feed'!$A$2:$A$139,0))</f>
        <v/>
      </c>
      <c r="F12" s="31">
        <f>INDEX('Auto Feed'!$D$2:$D$139,MATCH($B12,'Auto Feed'!$A$2:$A$139,0))</f>
        <v/>
      </c>
      <c r="G12" s="51">
        <f>INDEX('Auto Feed'!$E$2:$E$139,MATCH($B12,'Auto Feed'!$A$2:$A$139,0))</f>
        <v/>
      </c>
      <c r="H12" s="51">
        <f>INDEX('Auto Feed'!$F$2:$F$139,MATCH($B12,'Auto Feed'!$A$2:$A$139,0))</f>
        <v/>
      </c>
      <c r="I12" s="51">
        <f>INDEX('Auto Feed'!$G$2:$G$139,MATCH($B12,'Auto Feed'!$A$2:$A$139,0))</f>
        <v/>
      </c>
      <c r="J12" s="51">
        <f>INDEX('Auto Feed'!$H$2:$H$139,MATCH($B12,'Auto Feed'!$A$2:$A$139,0))</f>
        <v/>
      </c>
      <c r="K12" s="32">
        <f>((G12-AVERAGE('Auto Feed'!$E$2:$E$139))/STDEV('Auto Feed'!$E$2:$E$139))+((H12-AVERAGE('Auto Feed'!$F$2:$F$139))/STDEV('Auto Feed'!$F$2:$F$139))+((I12-AVERAGE('Auto Feed'!$G$2:$G$139))/STDEV('Auto Feed'!$G$2:$G$139))-((J12-AVERAGE('Auto Feed'!$H$2:$H$139))/STDEV('Auto Feed'!$H$2:$H$139))</f>
        <v/>
      </c>
      <c r="L12" s="31">
        <f>((E12-AVERAGE('Auto Feed'!$C$2:$C$139))/STDEV('Auto Feed'!$C$2:$C$139))*'Weights &amp; Params'!$B$14</f>
        <v/>
      </c>
      <c r="M12" s="31">
        <f>((F12-AVERAGE('Auto Feed'!$D$2:$D$139))/STDEV('Auto Feed'!$D$2:$D$139))*'Weights &amp; Params'!$B$14</f>
        <v/>
      </c>
      <c r="N12" s="31">
        <f>((K12-AVERAGE($K$2:$K$139))/STDEV($K$2:$K$139))*'Weights &amp; Params'!$B$14</f>
        <v/>
      </c>
      <c r="O12" s="33">
        <f>'Weights &amp; Params'!$B$5*D12+'Weights &amp; Params'!$B$6*L12+'Weights &amp; Params'!$B$7*M12+'Weights &amp; Params'!$B$8*N12+'Weights &amp; Params'!$B$17*S12</f>
        <v/>
      </c>
      <c r="P12" s="54">
        <f>INDEX('Auto Feed'!$I$2:$I$139,MATCH($B12,'Auto Feed'!$A$2:$A$139,0))</f>
        <v/>
      </c>
      <c r="Q12" s="54">
        <f>INDEX('Auto Feed'!$J$2:$J$139,MATCH($B12,'Auto Feed'!$A$2:$A$139,0))</f>
        <v/>
      </c>
      <c r="R12" s="54">
        <f>((P12-AVERAGE('Auto Feed'!$I$2:$I$139))/STDEV('Auto Feed'!$I$2:$I$139))-((Q12-AVERAGE('Auto Feed'!$J$2:$J$139))/STDEV('Auto Feed'!$J$2:$J$139))</f>
        <v/>
      </c>
      <c r="S12" s="54">
        <f>((R12-AVERAGE($R$2:$R$139))/STDEV($R$2:$R$139))*'Weights &amp; Params'!$B$14</f>
        <v/>
      </c>
    </row>
    <row r="13">
      <c r="A13" s="12">
        <f>RANK(O13,$O$2:$O$139,0)</f>
        <v/>
      </c>
      <c r="B13" s="30" t="inlineStr">
        <is>
          <t>Ball State</t>
        </is>
      </c>
      <c r="C13" s="23">
        <f>INDEX('Auto Feed'!$B$2:$B$139,MATCH($B13,'Auto Feed'!$A$2:$A$139,0))</f>
        <v/>
      </c>
      <c r="D13" s="31">
        <f>INDEX('Weekly Input'!$B$2:$B$139,MATCH($B13,'Weekly Input'!$A$2:$A$139,0))</f>
        <v/>
      </c>
      <c r="E13" s="31">
        <f>INDEX('Auto Feed'!$C$2:$C$139,MATCH($B13,'Auto Feed'!$A$2:$A$139,0))</f>
        <v/>
      </c>
      <c r="F13" s="31">
        <f>INDEX('Auto Feed'!$D$2:$D$139,MATCH($B13,'Auto Feed'!$A$2:$A$139,0))</f>
        <v/>
      </c>
      <c r="G13" s="51">
        <f>INDEX('Auto Feed'!$E$2:$E$139,MATCH($B13,'Auto Feed'!$A$2:$A$139,0))</f>
        <v/>
      </c>
      <c r="H13" s="51">
        <f>INDEX('Auto Feed'!$F$2:$F$139,MATCH($B13,'Auto Feed'!$A$2:$A$139,0))</f>
        <v/>
      </c>
      <c r="I13" s="51">
        <f>INDEX('Auto Feed'!$G$2:$G$139,MATCH($B13,'Auto Feed'!$A$2:$A$139,0))</f>
        <v/>
      </c>
      <c r="J13" s="51">
        <f>INDEX('Auto Feed'!$H$2:$H$139,MATCH($B13,'Auto Feed'!$A$2:$A$139,0))</f>
        <v/>
      </c>
      <c r="K13" s="32">
        <f>((G13-AVERAGE('Auto Feed'!$E$2:$E$139))/STDEV('Auto Feed'!$E$2:$E$139))+((H13-AVERAGE('Auto Feed'!$F$2:$F$139))/STDEV('Auto Feed'!$F$2:$F$139))+((I13-AVERAGE('Auto Feed'!$G$2:$G$139))/STDEV('Auto Feed'!$G$2:$G$139))-((J13-AVERAGE('Auto Feed'!$H$2:$H$139))/STDEV('Auto Feed'!$H$2:$H$139))</f>
        <v/>
      </c>
      <c r="L13" s="31">
        <f>((E13-AVERAGE('Auto Feed'!$C$2:$C$139))/STDEV('Auto Feed'!$C$2:$C$139))*'Weights &amp; Params'!$B$14</f>
        <v/>
      </c>
      <c r="M13" s="31">
        <f>((F13-AVERAGE('Auto Feed'!$D$2:$D$139))/STDEV('Auto Feed'!$D$2:$D$139))*'Weights &amp; Params'!$B$14</f>
        <v/>
      </c>
      <c r="N13" s="31">
        <f>((K13-AVERAGE($K$2:$K$139))/STDEV($K$2:$K$139))*'Weights &amp; Params'!$B$14</f>
        <v/>
      </c>
      <c r="O13" s="33">
        <f>'Weights &amp; Params'!$B$5*D13+'Weights &amp; Params'!$B$6*L13+'Weights &amp; Params'!$B$7*M13+'Weights &amp; Params'!$B$8*N13+'Weights &amp; Params'!$B$17*S13</f>
        <v/>
      </c>
      <c r="P13" s="54">
        <f>INDEX('Auto Feed'!$I$2:$I$139,MATCH($B13,'Auto Feed'!$A$2:$A$139,0))</f>
        <v/>
      </c>
      <c r="Q13" s="54">
        <f>INDEX('Auto Feed'!$J$2:$J$139,MATCH($B13,'Auto Feed'!$A$2:$A$139,0))</f>
        <v/>
      </c>
      <c r="R13" s="54">
        <f>((P13-AVERAGE('Auto Feed'!$I$2:$I$139))/STDEV('Auto Feed'!$I$2:$I$139))-((Q13-AVERAGE('Auto Feed'!$J$2:$J$139))/STDEV('Auto Feed'!$J$2:$J$139))</f>
        <v/>
      </c>
      <c r="S13" s="54">
        <f>((R13-AVERAGE($R$2:$R$139))/STDEV($R$2:$R$139))*'Weights &amp; Params'!$B$14</f>
        <v/>
      </c>
    </row>
    <row r="14">
      <c r="A14" s="12">
        <f>RANK(O14,$O$2:$O$139,0)</f>
        <v/>
      </c>
      <c r="B14" s="30" t="inlineStr">
        <is>
          <t>Baylor</t>
        </is>
      </c>
      <c r="C14" s="23">
        <f>INDEX('Auto Feed'!$B$2:$B$139,MATCH($B14,'Auto Feed'!$A$2:$A$139,0))</f>
        <v/>
      </c>
      <c r="D14" s="31">
        <f>INDEX('Weekly Input'!$B$2:$B$139,MATCH($B14,'Weekly Input'!$A$2:$A$139,0))</f>
        <v/>
      </c>
      <c r="E14" s="31">
        <f>INDEX('Auto Feed'!$C$2:$C$139,MATCH($B14,'Auto Feed'!$A$2:$A$139,0))</f>
        <v/>
      </c>
      <c r="F14" s="31">
        <f>INDEX('Auto Feed'!$D$2:$D$139,MATCH($B14,'Auto Feed'!$A$2:$A$139,0))</f>
        <v/>
      </c>
      <c r="G14" s="51">
        <f>INDEX('Auto Feed'!$E$2:$E$139,MATCH($B14,'Auto Feed'!$A$2:$A$139,0))</f>
        <v/>
      </c>
      <c r="H14" s="51">
        <f>INDEX('Auto Feed'!$F$2:$F$139,MATCH($B14,'Auto Feed'!$A$2:$A$139,0))</f>
        <v/>
      </c>
      <c r="I14" s="51">
        <f>INDEX('Auto Feed'!$G$2:$G$139,MATCH($B14,'Auto Feed'!$A$2:$A$139,0))</f>
        <v/>
      </c>
      <c r="J14" s="51">
        <f>INDEX('Auto Feed'!$H$2:$H$139,MATCH($B14,'Auto Feed'!$A$2:$A$139,0))</f>
        <v/>
      </c>
      <c r="K14" s="32">
        <f>((G14-AVERAGE('Auto Feed'!$E$2:$E$139))/STDEV('Auto Feed'!$E$2:$E$139))+((H14-AVERAGE('Auto Feed'!$F$2:$F$139))/STDEV('Auto Feed'!$F$2:$F$139))+((I14-AVERAGE('Auto Feed'!$G$2:$G$139))/STDEV('Auto Feed'!$G$2:$G$139))-((J14-AVERAGE('Auto Feed'!$H$2:$H$139))/STDEV('Auto Feed'!$H$2:$H$139))</f>
        <v/>
      </c>
      <c r="L14" s="31">
        <f>((E14-AVERAGE('Auto Feed'!$C$2:$C$139))/STDEV('Auto Feed'!$C$2:$C$139))*'Weights &amp; Params'!$B$14</f>
        <v/>
      </c>
      <c r="M14" s="31">
        <f>((F14-AVERAGE('Auto Feed'!$D$2:$D$139))/STDEV('Auto Feed'!$D$2:$D$139))*'Weights &amp; Params'!$B$14</f>
        <v/>
      </c>
      <c r="N14" s="31">
        <f>((K14-AVERAGE($K$2:$K$139))/STDEV($K$2:$K$139))*'Weights &amp; Params'!$B$14</f>
        <v/>
      </c>
      <c r="O14" s="33">
        <f>'Weights &amp; Params'!$B$5*D14+'Weights &amp; Params'!$B$6*L14+'Weights &amp; Params'!$B$7*M14+'Weights &amp; Params'!$B$8*N14+'Weights &amp; Params'!$B$17*S14</f>
        <v/>
      </c>
      <c r="P14" s="54">
        <f>INDEX('Auto Feed'!$I$2:$I$139,MATCH($B14,'Auto Feed'!$A$2:$A$139,0))</f>
        <v/>
      </c>
      <c r="Q14" s="54">
        <f>INDEX('Auto Feed'!$J$2:$J$139,MATCH($B14,'Auto Feed'!$A$2:$A$139,0))</f>
        <v/>
      </c>
      <c r="R14" s="54">
        <f>((P14-AVERAGE('Auto Feed'!$I$2:$I$139))/STDEV('Auto Feed'!$I$2:$I$139))-((Q14-AVERAGE('Auto Feed'!$J$2:$J$139))/STDEV('Auto Feed'!$J$2:$J$139))</f>
        <v/>
      </c>
      <c r="S14" s="54">
        <f>((R14-AVERAGE($R$2:$R$139))/STDEV($R$2:$R$139))*'Weights &amp; Params'!$B$14</f>
        <v/>
      </c>
    </row>
    <row r="15">
      <c r="A15" s="12">
        <f>RANK(O15,$O$2:$O$139,0)</f>
        <v/>
      </c>
      <c r="B15" s="30" t="inlineStr">
        <is>
          <t>Boise State</t>
        </is>
      </c>
      <c r="C15" s="23">
        <f>INDEX('Auto Feed'!$B$2:$B$139,MATCH($B15,'Auto Feed'!$A$2:$A$139,0))</f>
        <v/>
      </c>
      <c r="D15" s="31">
        <f>INDEX('Weekly Input'!$B$2:$B$139,MATCH($B15,'Weekly Input'!$A$2:$A$139,0))</f>
        <v/>
      </c>
      <c r="E15" s="31">
        <f>INDEX('Auto Feed'!$C$2:$C$139,MATCH($B15,'Auto Feed'!$A$2:$A$139,0))</f>
        <v/>
      </c>
      <c r="F15" s="31">
        <f>INDEX('Auto Feed'!$D$2:$D$139,MATCH($B15,'Auto Feed'!$A$2:$A$139,0))</f>
        <v/>
      </c>
      <c r="G15" s="51">
        <f>INDEX('Auto Feed'!$E$2:$E$139,MATCH($B15,'Auto Feed'!$A$2:$A$139,0))</f>
        <v/>
      </c>
      <c r="H15" s="51">
        <f>INDEX('Auto Feed'!$F$2:$F$139,MATCH($B15,'Auto Feed'!$A$2:$A$139,0))</f>
        <v/>
      </c>
      <c r="I15" s="51">
        <f>INDEX('Auto Feed'!$G$2:$G$139,MATCH($B15,'Auto Feed'!$A$2:$A$139,0))</f>
        <v/>
      </c>
      <c r="J15" s="51">
        <f>INDEX('Auto Feed'!$H$2:$H$139,MATCH($B15,'Auto Feed'!$A$2:$A$139,0))</f>
        <v/>
      </c>
      <c r="K15" s="32">
        <f>((G15-AVERAGE('Auto Feed'!$E$2:$E$139))/STDEV('Auto Feed'!$E$2:$E$139))+((H15-AVERAGE('Auto Feed'!$F$2:$F$139))/STDEV('Auto Feed'!$F$2:$F$139))+((I15-AVERAGE('Auto Feed'!$G$2:$G$139))/STDEV('Auto Feed'!$G$2:$G$139))-((J15-AVERAGE('Auto Feed'!$H$2:$H$139))/STDEV('Auto Feed'!$H$2:$H$139))</f>
        <v/>
      </c>
      <c r="L15" s="31">
        <f>((E15-AVERAGE('Auto Feed'!$C$2:$C$139))/STDEV('Auto Feed'!$C$2:$C$139))*'Weights &amp; Params'!$B$14</f>
        <v/>
      </c>
      <c r="M15" s="31">
        <f>((F15-AVERAGE('Auto Feed'!$D$2:$D$139))/STDEV('Auto Feed'!$D$2:$D$139))*'Weights &amp; Params'!$B$14</f>
        <v/>
      </c>
      <c r="N15" s="31">
        <f>((K15-AVERAGE($K$2:$K$139))/STDEV($K$2:$K$139))*'Weights &amp; Params'!$B$14</f>
        <v/>
      </c>
      <c r="O15" s="33">
        <f>'Weights &amp; Params'!$B$5*D15+'Weights &amp; Params'!$B$6*L15+'Weights &amp; Params'!$B$7*M15+'Weights &amp; Params'!$B$8*N15+'Weights &amp; Params'!$B$17*S15</f>
        <v/>
      </c>
      <c r="P15" s="54">
        <f>INDEX('Auto Feed'!$I$2:$I$139,MATCH($B15,'Auto Feed'!$A$2:$A$139,0))</f>
        <v/>
      </c>
      <c r="Q15" s="54">
        <f>INDEX('Auto Feed'!$J$2:$J$139,MATCH($B15,'Auto Feed'!$A$2:$A$139,0))</f>
        <v/>
      </c>
      <c r="R15" s="54">
        <f>((P15-AVERAGE('Auto Feed'!$I$2:$I$139))/STDEV('Auto Feed'!$I$2:$I$139))-((Q15-AVERAGE('Auto Feed'!$J$2:$J$139))/STDEV('Auto Feed'!$J$2:$J$139))</f>
        <v/>
      </c>
      <c r="S15" s="54">
        <f>((R15-AVERAGE($R$2:$R$139))/STDEV($R$2:$R$139))*'Weights &amp; Params'!$B$14</f>
        <v/>
      </c>
    </row>
    <row r="16">
      <c r="A16" s="12">
        <f>RANK(O16,$O$2:$O$139,0)</f>
        <v/>
      </c>
      <c r="B16" s="30" t="inlineStr">
        <is>
          <t>Boston College</t>
        </is>
      </c>
      <c r="C16" s="23">
        <f>INDEX('Auto Feed'!$B$2:$B$139,MATCH($B16,'Auto Feed'!$A$2:$A$139,0))</f>
        <v/>
      </c>
      <c r="D16" s="31">
        <f>INDEX('Weekly Input'!$B$2:$B$139,MATCH($B16,'Weekly Input'!$A$2:$A$139,0))</f>
        <v/>
      </c>
      <c r="E16" s="31">
        <f>INDEX('Auto Feed'!$C$2:$C$139,MATCH($B16,'Auto Feed'!$A$2:$A$139,0))</f>
        <v/>
      </c>
      <c r="F16" s="31">
        <f>INDEX('Auto Feed'!$D$2:$D$139,MATCH($B16,'Auto Feed'!$A$2:$A$139,0))</f>
        <v/>
      </c>
      <c r="G16" s="51">
        <f>INDEX('Auto Feed'!$E$2:$E$139,MATCH($B16,'Auto Feed'!$A$2:$A$139,0))</f>
        <v/>
      </c>
      <c r="H16" s="51">
        <f>INDEX('Auto Feed'!$F$2:$F$139,MATCH($B16,'Auto Feed'!$A$2:$A$139,0))</f>
        <v/>
      </c>
      <c r="I16" s="51">
        <f>INDEX('Auto Feed'!$G$2:$G$139,MATCH($B16,'Auto Feed'!$A$2:$A$139,0))</f>
        <v/>
      </c>
      <c r="J16" s="51">
        <f>INDEX('Auto Feed'!$H$2:$H$139,MATCH($B16,'Auto Feed'!$A$2:$A$139,0))</f>
        <v/>
      </c>
      <c r="K16" s="32">
        <f>((G16-AVERAGE('Auto Feed'!$E$2:$E$139))/STDEV('Auto Feed'!$E$2:$E$139))+((H16-AVERAGE('Auto Feed'!$F$2:$F$139))/STDEV('Auto Feed'!$F$2:$F$139))+((I16-AVERAGE('Auto Feed'!$G$2:$G$139))/STDEV('Auto Feed'!$G$2:$G$139))-((J16-AVERAGE('Auto Feed'!$H$2:$H$139))/STDEV('Auto Feed'!$H$2:$H$139))</f>
        <v/>
      </c>
      <c r="L16" s="31">
        <f>((E16-AVERAGE('Auto Feed'!$C$2:$C$139))/STDEV('Auto Feed'!$C$2:$C$139))*'Weights &amp; Params'!$B$14</f>
        <v/>
      </c>
      <c r="M16" s="31">
        <f>((F16-AVERAGE('Auto Feed'!$D$2:$D$139))/STDEV('Auto Feed'!$D$2:$D$139))*'Weights &amp; Params'!$B$14</f>
        <v/>
      </c>
      <c r="N16" s="31">
        <f>((K16-AVERAGE($K$2:$K$139))/STDEV($K$2:$K$139))*'Weights &amp; Params'!$B$14</f>
        <v/>
      </c>
      <c r="O16" s="33">
        <f>'Weights &amp; Params'!$B$5*D16+'Weights &amp; Params'!$B$6*L16+'Weights &amp; Params'!$B$7*M16+'Weights &amp; Params'!$B$8*N16+'Weights &amp; Params'!$B$17*S16</f>
        <v/>
      </c>
      <c r="P16" s="54">
        <f>INDEX('Auto Feed'!$I$2:$I$139,MATCH($B16,'Auto Feed'!$A$2:$A$139,0))</f>
        <v/>
      </c>
      <c r="Q16" s="54">
        <f>INDEX('Auto Feed'!$J$2:$J$139,MATCH($B16,'Auto Feed'!$A$2:$A$139,0))</f>
        <v/>
      </c>
      <c r="R16" s="54">
        <f>((P16-AVERAGE('Auto Feed'!$I$2:$I$139))/STDEV('Auto Feed'!$I$2:$I$139))-((Q16-AVERAGE('Auto Feed'!$J$2:$J$139))/STDEV('Auto Feed'!$J$2:$J$139))</f>
        <v/>
      </c>
      <c r="S16" s="54">
        <f>((R16-AVERAGE($R$2:$R$139))/STDEV($R$2:$R$139))*'Weights &amp; Params'!$B$14</f>
        <v/>
      </c>
    </row>
    <row r="17">
      <c r="A17" s="12">
        <f>RANK(O17,$O$2:$O$139,0)</f>
        <v/>
      </c>
      <c r="B17" s="30" t="inlineStr">
        <is>
          <t>Bowling Green</t>
        </is>
      </c>
      <c r="C17" s="23">
        <f>INDEX('Auto Feed'!$B$2:$B$139,MATCH($B17,'Auto Feed'!$A$2:$A$139,0))</f>
        <v/>
      </c>
      <c r="D17" s="31">
        <f>INDEX('Weekly Input'!$B$2:$B$139,MATCH($B17,'Weekly Input'!$A$2:$A$139,0))</f>
        <v/>
      </c>
      <c r="E17" s="31">
        <f>INDEX('Auto Feed'!$C$2:$C$139,MATCH($B17,'Auto Feed'!$A$2:$A$139,0))</f>
        <v/>
      </c>
      <c r="F17" s="31">
        <f>INDEX('Auto Feed'!$D$2:$D$139,MATCH($B17,'Auto Feed'!$A$2:$A$139,0))</f>
        <v/>
      </c>
      <c r="G17" s="51">
        <f>INDEX('Auto Feed'!$E$2:$E$139,MATCH($B17,'Auto Feed'!$A$2:$A$139,0))</f>
        <v/>
      </c>
      <c r="H17" s="51">
        <f>INDEX('Auto Feed'!$F$2:$F$139,MATCH($B17,'Auto Feed'!$A$2:$A$139,0))</f>
        <v/>
      </c>
      <c r="I17" s="51">
        <f>INDEX('Auto Feed'!$G$2:$G$139,MATCH($B17,'Auto Feed'!$A$2:$A$139,0))</f>
        <v/>
      </c>
      <c r="J17" s="51">
        <f>INDEX('Auto Feed'!$H$2:$H$139,MATCH($B17,'Auto Feed'!$A$2:$A$139,0))</f>
        <v/>
      </c>
      <c r="K17" s="32">
        <f>((G17-AVERAGE('Auto Feed'!$E$2:$E$139))/STDEV('Auto Feed'!$E$2:$E$139))+((H17-AVERAGE('Auto Feed'!$F$2:$F$139))/STDEV('Auto Feed'!$F$2:$F$139))+((I17-AVERAGE('Auto Feed'!$G$2:$G$139))/STDEV('Auto Feed'!$G$2:$G$139))-((J17-AVERAGE('Auto Feed'!$H$2:$H$139))/STDEV('Auto Feed'!$H$2:$H$139))</f>
        <v/>
      </c>
      <c r="L17" s="31">
        <f>((E17-AVERAGE('Auto Feed'!$C$2:$C$139))/STDEV('Auto Feed'!$C$2:$C$139))*'Weights &amp; Params'!$B$14</f>
        <v/>
      </c>
      <c r="M17" s="31">
        <f>((F17-AVERAGE('Auto Feed'!$D$2:$D$139))/STDEV('Auto Feed'!$D$2:$D$139))*'Weights &amp; Params'!$B$14</f>
        <v/>
      </c>
      <c r="N17" s="31">
        <f>((K17-AVERAGE($K$2:$K$139))/STDEV($K$2:$K$139))*'Weights &amp; Params'!$B$14</f>
        <v/>
      </c>
      <c r="O17" s="33">
        <f>'Weights &amp; Params'!$B$5*D17+'Weights &amp; Params'!$B$6*L17+'Weights &amp; Params'!$B$7*M17+'Weights &amp; Params'!$B$8*N17+'Weights &amp; Params'!$B$17*S17</f>
        <v/>
      </c>
      <c r="P17" s="54">
        <f>INDEX('Auto Feed'!$I$2:$I$139,MATCH($B17,'Auto Feed'!$A$2:$A$139,0))</f>
        <v/>
      </c>
      <c r="Q17" s="54">
        <f>INDEX('Auto Feed'!$J$2:$J$139,MATCH($B17,'Auto Feed'!$A$2:$A$139,0))</f>
        <v/>
      </c>
      <c r="R17" s="54">
        <f>((P17-AVERAGE('Auto Feed'!$I$2:$I$139))/STDEV('Auto Feed'!$I$2:$I$139))-((Q17-AVERAGE('Auto Feed'!$J$2:$J$139))/STDEV('Auto Feed'!$J$2:$J$139))</f>
        <v/>
      </c>
      <c r="S17" s="54">
        <f>((R17-AVERAGE($R$2:$R$139))/STDEV($R$2:$R$139))*'Weights &amp; Params'!$B$14</f>
        <v/>
      </c>
    </row>
    <row r="18">
      <c r="A18" s="12">
        <f>RANK(O18,$O$2:$O$139,0)</f>
        <v/>
      </c>
      <c r="B18" s="30" t="inlineStr">
        <is>
          <t>Buffalo</t>
        </is>
      </c>
      <c r="C18" s="23">
        <f>INDEX('Auto Feed'!$B$2:$B$139,MATCH($B18,'Auto Feed'!$A$2:$A$139,0))</f>
        <v/>
      </c>
      <c r="D18" s="31">
        <f>INDEX('Weekly Input'!$B$2:$B$139,MATCH($B18,'Weekly Input'!$A$2:$A$139,0))</f>
        <v/>
      </c>
      <c r="E18" s="31">
        <f>INDEX('Auto Feed'!$C$2:$C$139,MATCH($B18,'Auto Feed'!$A$2:$A$139,0))</f>
        <v/>
      </c>
      <c r="F18" s="31">
        <f>INDEX('Auto Feed'!$D$2:$D$139,MATCH($B18,'Auto Feed'!$A$2:$A$139,0))</f>
        <v/>
      </c>
      <c r="G18" s="51">
        <f>INDEX('Auto Feed'!$E$2:$E$139,MATCH($B18,'Auto Feed'!$A$2:$A$139,0))</f>
        <v/>
      </c>
      <c r="H18" s="51">
        <f>INDEX('Auto Feed'!$F$2:$F$139,MATCH($B18,'Auto Feed'!$A$2:$A$139,0))</f>
        <v/>
      </c>
      <c r="I18" s="51">
        <f>INDEX('Auto Feed'!$G$2:$G$139,MATCH($B18,'Auto Feed'!$A$2:$A$139,0))</f>
        <v/>
      </c>
      <c r="J18" s="51">
        <f>INDEX('Auto Feed'!$H$2:$H$139,MATCH($B18,'Auto Feed'!$A$2:$A$139,0))</f>
        <v/>
      </c>
      <c r="K18" s="32">
        <f>((G18-AVERAGE('Auto Feed'!$E$2:$E$139))/STDEV('Auto Feed'!$E$2:$E$139))+((H18-AVERAGE('Auto Feed'!$F$2:$F$139))/STDEV('Auto Feed'!$F$2:$F$139))+((I18-AVERAGE('Auto Feed'!$G$2:$G$139))/STDEV('Auto Feed'!$G$2:$G$139))-((J18-AVERAGE('Auto Feed'!$H$2:$H$139))/STDEV('Auto Feed'!$H$2:$H$139))</f>
        <v/>
      </c>
      <c r="L18" s="31">
        <f>((E18-AVERAGE('Auto Feed'!$C$2:$C$139))/STDEV('Auto Feed'!$C$2:$C$139))*'Weights &amp; Params'!$B$14</f>
        <v/>
      </c>
      <c r="M18" s="31">
        <f>((F18-AVERAGE('Auto Feed'!$D$2:$D$139))/STDEV('Auto Feed'!$D$2:$D$139))*'Weights &amp; Params'!$B$14</f>
        <v/>
      </c>
      <c r="N18" s="31">
        <f>((K18-AVERAGE($K$2:$K$139))/STDEV($K$2:$K$139))*'Weights &amp; Params'!$B$14</f>
        <v/>
      </c>
      <c r="O18" s="33">
        <f>'Weights &amp; Params'!$B$5*D18+'Weights &amp; Params'!$B$6*L18+'Weights &amp; Params'!$B$7*M18+'Weights &amp; Params'!$B$8*N18+'Weights &amp; Params'!$B$17*S18</f>
        <v/>
      </c>
      <c r="P18" s="54">
        <f>INDEX('Auto Feed'!$I$2:$I$139,MATCH($B18,'Auto Feed'!$A$2:$A$139,0))</f>
        <v/>
      </c>
      <c r="Q18" s="54">
        <f>INDEX('Auto Feed'!$J$2:$J$139,MATCH($B18,'Auto Feed'!$A$2:$A$139,0))</f>
        <v/>
      </c>
      <c r="R18" s="54">
        <f>((P18-AVERAGE('Auto Feed'!$I$2:$I$139))/STDEV('Auto Feed'!$I$2:$I$139))-((Q18-AVERAGE('Auto Feed'!$J$2:$J$139))/STDEV('Auto Feed'!$J$2:$J$139))</f>
        <v/>
      </c>
      <c r="S18" s="54">
        <f>((R18-AVERAGE($R$2:$R$139))/STDEV($R$2:$R$139))*'Weights &amp; Params'!$B$14</f>
        <v/>
      </c>
    </row>
    <row r="19">
      <c r="A19" s="12">
        <f>RANK(O19,$O$2:$O$139,0)</f>
        <v/>
      </c>
      <c r="B19" s="30" t="inlineStr">
        <is>
          <t>California</t>
        </is>
      </c>
      <c r="C19" s="23">
        <f>INDEX('Auto Feed'!$B$2:$B$139,MATCH($B19,'Auto Feed'!$A$2:$A$139,0))</f>
        <v/>
      </c>
      <c r="D19" s="31">
        <f>INDEX('Weekly Input'!$B$2:$B$139,MATCH($B19,'Weekly Input'!$A$2:$A$139,0))</f>
        <v/>
      </c>
      <c r="E19" s="31">
        <f>INDEX('Auto Feed'!$C$2:$C$139,MATCH($B19,'Auto Feed'!$A$2:$A$139,0))</f>
        <v/>
      </c>
      <c r="F19" s="31">
        <f>INDEX('Auto Feed'!$D$2:$D$139,MATCH($B19,'Auto Feed'!$A$2:$A$139,0))</f>
        <v/>
      </c>
      <c r="G19" s="51">
        <f>INDEX('Auto Feed'!$E$2:$E$139,MATCH($B19,'Auto Feed'!$A$2:$A$139,0))</f>
        <v/>
      </c>
      <c r="H19" s="51">
        <f>INDEX('Auto Feed'!$F$2:$F$139,MATCH($B19,'Auto Feed'!$A$2:$A$139,0))</f>
        <v/>
      </c>
      <c r="I19" s="51">
        <f>INDEX('Auto Feed'!$G$2:$G$139,MATCH($B19,'Auto Feed'!$A$2:$A$139,0))</f>
        <v/>
      </c>
      <c r="J19" s="51">
        <f>INDEX('Auto Feed'!$H$2:$H$139,MATCH($B19,'Auto Feed'!$A$2:$A$139,0))</f>
        <v/>
      </c>
      <c r="K19" s="32">
        <f>((G19-AVERAGE('Auto Feed'!$E$2:$E$139))/STDEV('Auto Feed'!$E$2:$E$139))+((H19-AVERAGE('Auto Feed'!$F$2:$F$139))/STDEV('Auto Feed'!$F$2:$F$139))+((I19-AVERAGE('Auto Feed'!$G$2:$G$139))/STDEV('Auto Feed'!$G$2:$G$139))-((J19-AVERAGE('Auto Feed'!$H$2:$H$139))/STDEV('Auto Feed'!$H$2:$H$139))</f>
        <v/>
      </c>
      <c r="L19" s="31">
        <f>((E19-AVERAGE('Auto Feed'!$C$2:$C$139))/STDEV('Auto Feed'!$C$2:$C$139))*'Weights &amp; Params'!$B$14</f>
        <v/>
      </c>
      <c r="M19" s="31">
        <f>((F19-AVERAGE('Auto Feed'!$D$2:$D$139))/STDEV('Auto Feed'!$D$2:$D$139))*'Weights &amp; Params'!$B$14</f>
        <v/>
      </c>
      <c r="N19" s="31">
        <f>((K19-AVERAGE($K$2:$K$139))/STDEV($K$2:$K$139))*'Weights &amp; Params'!$B$14</f>
        <v/>
      </c>
      <c r="O19" s="33">
        <f>'Weights &amp; Params'!$B$5*D19+'Weights &amp; Params'!$B$6*L19+'Weights &amp; Params'!$B$7*M19+'Weights &amp; Params'!$B$8*N19+'Weights &amp; Params'!$B$17*S19</f>
        <v/>
      </c>
      <c r="P19" s="54">
        <f>INDEX('Auto Feed'!$I$2:$I$139,MATCH($B19,'Auto Feed'!$A$2:$A$139,0))</f>
        <v/>
      </c>
      <c r="Q19" s="54">
        <f>INDEX('Auto Feed'!$J$2:$J$139,MATCH($B19,'Auto Feed'!$A$2:$A$139,0))</f>
        <v/>
      </c>
      <c r="R19" s="54">
        <f>((P19-AVERAGE('Auto Feed'!$I$2:$I$139))/STDEV('Auto Feed'!$I$2:$I$139))-((Q19-AVERAGE('Auto Feed'!$J$2:$J$139))/STDEV('Auto Feed'!$J$2:$J$139))</f>
        <v/>
      </c>
      <c r="S19" s="54">
        <f>((R19-AVERAGE($R$2:$R$139))/STDEV($R$2:$R$139))*'Weights &amp; Params'!$B$14</f>
        <v/>
      </c>
    </row>
    <row r="20">
      <c r="A20" s="12">
        <f>RANK(O20,$O$2:$O$139,0)</f>
        <v/>
      </c>
      <c r="B20" s="30" t="inlineStr">
        <is>
          <t>Central Michigan</t>
        </is>
      </c>
      <c r="C20" s="23">
        <f>INDEX('Auto Feed'!$B$2:$B$139,MATCH($B20,'Auto Feed'!$A$2:$A$139,0))</f>
        <v/>
      </c>
      <c r="D20" s="31">
        <f>INDEX('Weekly Input'!$B$2:$B$139,MATCH($B20,'Weekly Input'!$A$2:$A$139,0))</f>
        <v/>
      </c>
      <c r="E20" s="31">
        <f>INDEX('Auto Feed'!$C$2:$C$139,MATCH($B20,'Auto Feed'!$A$2:$A$139,0))</f>
        <v/>
      </c>
      <c r="F20" s="31">
        <f>INDEX('Auto Feed'!$D$2:$D$139,MATCH($B20,'Auto Feed'!$A$2:$A$139,0))</f>
        <v/>
      </c>
      <c r="G20" s="51">
        <f>INDEX('Auto Feed'!$E$2:$E$139,MATCH($B20,'Auto Feed'!$A$2:$A$139,0))</f>
        <v/>
      </c>
      <c r="H20" s="51">
        <f>INDEX('Auto Feed'!$F$2:$F$139,MATCH($B20,'Auto Feed'!$A$2:$A$139,0))</f>
        <v/>
      </c>
      <c r="I20" s="51">
        <f>INDEX('Auto Feed'!$G$2:$G$139,MATCH($B20,'Auto Feed'!$A$2:$A$139,0))</f>
        <v/>
      </c>
      <c r="J20" s="51">
        <f>INDEX('Auto Feed'!$H$2:$H$139,MATCH($B20,'Auto Feed'!$A$2:$A$139,0))</f>
        <v/>
      </c>
      <c r="K20" s="32">
        <f>((G20-AVERAGE('Auto Feed'!$E$2:$E$139))/STDEV('Auto Feed'!$E$2:$E$139))+((H20-AVERAGE('Auto Feed'!$F$2:$F$139))/STDEV('Auto Feed'!$F$2:$F$139))+((I20-AVERAGE('Auto Feed'!$G$2:$G$139))/STDEV('Auto Feed'!$G$2:$G$139))-((J20-AVERAGE('Auto Feed'!$H$2:$H$139))/STDEV('Auto Feed'!$H$2:$H$139))</f>
        <v/>
      </c>
      <c r="L20" s="31">
        <f>((E20-AVERAGE('Auto Feed'!$C$2:$C$139))/STDEV('Auto Feed'!$C$2:$C$139))*'Weights &amp; Params'!$B$14</f>
        <v/>
      </c>
      <c r="M20" s="31">
        <f>((F20-AVERAGE('Auto Feed'!$D$2:$D$139))/STDEV('Auto Feed'!$D$2:$D$139))*'Weights &amp; Params'!$B$14</f>
        <v/>
      </c>
      <c r="N20" s="31">
        <f>((K20-AVERAGE($K$2:$K$139))/STDEV($K$2:$K$139))*'Weights &amp; Params'!$B$14</f>
        <v/>
      </c>
      <c r="O20" s="33">
        <f>'Weights &amp; Params'!$B$5*D20+'Weights &amp; Params'!$B$6*L20+'Weights &amp; Params'!$B$7*M20+'Weights &amp; Params'!$B$8*N20+'Weights &amp; Params'!$B$17*S20</f>
        <v/>
      </c>
      <c r="P20" s="54">
        <f>INDEX('Auto Feed'!$I$2:$I$139,MATCH($B20,'Auto Feed'!$A$2:$A$139,0))</f>
        <v/>
      </c>
      <c r="Q20" s="54">
        <f>INDEX('Auto Feed'!$J$2:$J$139,MATCH($B20,'Auto Feed'!$A$2:$A$139,0))</f>
        <v/>
      </c>
      <c r="R20" s="54">
        <f>((P20-AVERAGE('Auto Feed'!$I$2:$I$139))/STDEV('Auto Feed'!$I$2:$I$139))-((Q20-AVERAGE('Auto Feed'!$J$2:$J$139))/STDEV('Auto Feed'!$J$2:$J$139))</f>
        <v/>
      </c>
      <c r="S20" s="54">
        <f>((R20-AVERAGE($R$2:$R$139))/STDEV($R$2:$R$139))*'Weights &amp; Params'!$B$14</f>
        <v/>
      </c>
    </row>
    <row r="21">
      <c r="A21" s="12">
        <f>RANK(O21,$O$2:$O$139,0)</f>
        <v/>
      </c>
      <c r="B21" s="30" t="inlineStr">
        <is>
          <t>Charlotte</t>
        </is>
      </c>
      <c r="C21" s="23">
        <f>INDEX('Auto Feed'!$B$2:$B$139,MATCH($B21,'Auto Feed'!$A$2:$A$139,0))</f>
        <v/>
      </c>
      <c r="D21" s="31">
        <f>INDEX('Weekly Input'!$B$2:$B$139,MATCH($B21,'Weekly Input'!$A$2:$A$139,0))</f>
        <v/>
      </c>
      <c r="E21" s="31">
        <f>INDEX('Auto Feed'!$C$2:$C$139,MATCH($B21,'Auto Feed'!$A$2:$A$139,0))</f>
        <v/>
      </c>
      <c r="F21" s="31">
        <f>INDEX('Auto Feed'!$D$2:$D$139,MATCH($B21,'Auto Feed'!$A$2:$A$139,0))</f>
        <v/>
      </c>
      <c r="G21" s="51">
        <f>INDEX('Auto Feed'!$E$2:$E$139,MATCH($B21,'Auto Feed'!$A$2:$A$139,0))</f>
        <v/>
      </c>
      <c r="H21" s="51">
        <f>INDEX('Auto Feed'!$F$2:$F$139,MATCH($B21,'Auto Feed'!$A$2:$A$139,0))</f>
        <v/>
      </c>
      <c r="I21" s="51">
        <f>INDEX('Auto Feed'!$G$2:$G$139,MATCH($B21,'Auto Feed'!$A$2:$A$139,0))</f>
        <v/>
      </c>
      <c r="J21" s="51">
        <f>INDEX('Auto Feed'!$H$2:$H$139,MATCH($B21,'Auto Feed'!$A$2:$A$139,0))</f>
        <v/>
      </c>
      <c r="K21" s="32">
        <f>((G21-AVERAGE('Auto Feed'!$E$2:$E$139))/STDEV('Auto Feed'!$E$2:$E$139))+((H21-AVERAGE('Auto Feed'!$F$2:$F$139))/STDEV('Auto Feed'!$F$2:$F$139))+((I21-AVERAGE('Auto Feed'!$G$2:$G$139))/STDEV('Auto Feed'!$G$2:$G$139))-((J21-AVERAGE('Auto Feed'!$H$2:$H$139))/STDEV('Auto Feed'!$H$2:$H$139))</f>
        <v/>
      </c>
      <c r="L21" s="31">
        <f>((E21-AVERAGE('Auto Feed'!$C$2:$C$139))/STDEV('Auto Feed'!$C$2:$C$139))*'Weights &amp; Params'!$B$14</f>
        <v/>
      </c>
      <c r="M21" s="31">
        <f>((F21-AVERAGE('Auto Feed'!$D$2:$D$139))/STDEV('Auto Feed'!$D$2:$D$139))*'Weights &amp; Params'!$B$14</f>
        <v/>
      </c>
      <c r="N21" s="31">
        <f>((K21-AVERAGE($K$2:$K$139))/STDEV($K$2:$K$139))*'Weights &amp; Params'!$B$14</f>
        <v/>
      </c>
      <c r="O21" s="33">
        <f>'Weights &amp; Params'!$B$5*D21+'Weights &amp; Params'!$B$6*L21+'Weights &amp; Params'!$B$7*M21+'Weights &amp; Params'!$B$8*N21+'Weights &amp; Params'!$B$17*S21</f>
        <v/>
      </c>
      <c r="P21" s="54">
        <f>INDEX('Auto Feed'!$I$2:$I$139,MATCH($B21,'Auto Feed'!$A$2:$A$139,0))</f>
        <v/>
      </c>
      <c r="Q21" s="54">
        <f>INDEX('Auto Feed'!$J$2:$J$139,MATCH($B21,'Auto Feed'!$A$2:$A$139,0))</f>
        <v/>
      </c>
      <c r="R21" s="54">
        <f>((P21-AVERAGE('Auto Feed'!$I$2:$I$139))/STDEV('Auto Feed'!$I$2:$I$139))-((Q21-AVERAGE('Auto Feed'!$J$2:$J$139))/STDEV('Auto Feed'!$J$2:$J$139))</f>
        <v/>
      </c>
      <c r="S21" s="54">
        <f>((R21-AVERAGE($R$2:$R$139))/STDEV($R$2:$R$139))*'Weights &amp; Params'!$B$14</f>
        <v/>
      </c>
    </row>
    <row r="22">
      <c r="A22" s="12">
        <f>RANK(O22,$O$2:$O$139,0)</f>
        <v/>
      </c>
      <c r="B22" s="30" t="inlineStr">
        <is>
          <t>Cincinnati</t>
        </is>
      </c>
      <c r="C22" s="23">
        <f>INDEX('Auto Feed'!$B$2:$B$139,MATCH($B22,'Auto Feed'!$A$2:$A$139,0))</f>
        <v/>
      </c>
      <c r="D22" s="31">
        <f>INDEX('Weekly Input'!$B$2:$B$139,MATCH($B22,'Weekly Input'!$A$2:$A$139,0))</f>
        <v/>
      </c>
      <c r="E22" s="31">
        <f>INDEX('Auto Feed'!$C$2:$C$139,MATCH($B22,'Auto Feed'!$A$2:$A$139,0))</f>
        <v/>
      </c>
      <c r="F22" s="31">
        <f>INDEX('Auto Feed'!$D$2:$D$139,MATCH($B22,'Auto Feed'!$A$2:$A$139,0))</f>
        <v/>
      </c>
      <c r="G22" s="51">
        <f>INDEX('Auto Feed'!$E$2:$E$139,MATCH($B22,'Auto Feed'!$A$2:$A$139,0))</f>
        <v/>
      </c>
      <c r="H22" s="51">
        <f>INDEX('Auto Feed'!$F$2:$F$139,MATCH($B22,'Auto Feed'!$A$2:$A$139,0))</f>
        <v/>
      </c>
      <c r="I22" s="51">
        <f>INDEX('Auto Feed'!$G$2:$G$139,MATCH($B22,'Auto Feed'!$A$2:$A$139,0))</f>
        <v/>
      </c>
      <c r="J22" s="51">
        <f>INDEX('Auto Feed'!$H$2:$H$139,MATCH($B22,'Auto Feed'!$A$2:$A$139,0))</f>
        <v/>
      </c>
      <c r="K22" s="32">
        <f>((G22-AVERAGE('Auto Feed'!$E$2:$E$139))/STDEV('Auto Feed'!$E$2:$E$139))+((H22-AVERAGE('Auto Feed'!$F$2:$F$139))/STDEV('Auto Feed'!$F$2:$F$139))+((I22-AVERAGE('Auto Feed'!$G$2:$G$139))/STDEV('Auto Feed'!$G$2:$G$139))-((J22-AVERAGE('Auto Feed'!$H$2:$H$139))/STDEV('Auto Feed'!$H$2:$H$139))</f>
        <v/>
      </c>
      <c r="L22" s="31">
        <f>((E22-AVERAGE('Auto Feed'!$C$2:$C$139))/STDEV('Auto Feed'!$C$2:$C$139))*'Weights &amp; Params'!$B$14</f>
        <v/>
      </c>
      <c r="M22" s="31">
        <f>((F22-AVERAGE('Auto Feed'!$D$2:$D$139))/STDEV('Auto Feed'!$D$2:$D$139))*'Weights &amp; Params'!$B$14</f>
        <v/>
      </c>
      <c r="N22" s="31">
        <f>((K22-AVERAGE($K$2:$K$139))/STDEV($K$2:$K$139))*'Weights &amp; Params'!$B$14</f>
        <v/>
      </c>
      <c r="O22" s="33">
        <f>'Weights &amp; Params'!$B$5*D22+'Weights &amp; Params'!$B$6*L22+'Weights &amp; Params'!$B$7*M22+'Weights &amp; Params'!$B$8*N22+'Weights &amp; Params'!$B$17*S22</f>
        <v/>
      </c>
      <c r="P22" s="54">
        <f>INDEX('Auto Feed'!$I$2:$I$139,MATCH($B22,'Auto Feed'!$A$2:$A$139,0))</f>
        <v/>
      </c>
      <c r="Q22" s="54">
        <f>INDEX('Auto Feed'!$J$2:$J$139,MATCH($B22,'Auto Feed'!$A$2:$A$139,0))</f>
        <v/>
      </c>
      <c r="R22" s="54">
        <f>((P22-AVERAGE('Auto Feed'!$I$2:$I$139))/STDEV('Auto Feed'!$I$2:$I$139))-((Q22-AVERAGE('Auto Feed'!$J$2:$J$139))/STDEV('Auto Feed'!$J$2:$J$139))</f>
        <v/>
      </c>
      <c r="S22" s="54">
        <f>((R22-AVERAGE($R$2:$R$139))/STDEV($R$2:$R$139))*'Weights &amp; Params'!$B$14</f>
        <v/>
      </c>
    </row>
    <row r="23">
      <c r="A23" s="12">
        <f>RANK(O23,$O$2:$O$139,0)</f>
        <v/>
      </c>
      <c r="B23" s="30" t="inlineStr">
        <is>
          <t>Clemson</t>
        </is>
      </c>
      <c r="C23" s="23">
        <f>INDEX('Auto Feed'!$B$2:$B$139,MATCH($B23,'Auto Feed'!$A$2:$A$139,0))</f>
        <v/>
      </c>
      <c r="D23" s="31">
        <f>INDEX('Weekly Input'!$B$2:$B$139,MATCH($B23,'Weekly Input'!$A$2:$A$139,0))</f>
        <v/>
      </c>
      <c r="E23" s="31">
        <f>INDEX('Auto Feed'!$C$2:$C$139,MATCH($B23,'Auto Feed'!$A$2:$A$139,0))</f>
        <v/>
      </c>
      <c r="F23" s="31">
        <f>INDEX('Auto Feed'!$D$2:$D$139,MATCH($B23,'Auto Feed'!$A$2:$A$139,0))</f>
        <v/>
      </c>
      <c r="G23" s="51">
        <f>INDEX('Auto Feed'!$E$2:$E$139,MATCH($B23,'Auto Feed'!$A$2:$A$139,0))</f>
        <v/>
      </c>
      <c r="H23" s="51">
        <f>INDEX('Auto Feed'!$F$2:$F$139,MATCH($B23,'Auto Feed'!$A$2:$A$139,0))</f>
        <v/>
      </c>
      <c r="I23" s="51">
        <f>INDEX('Auto Feed'!$G$2:$G$139,MATCH($B23,'Auto Feed'!$A$2:$A$139,0))</f>
        <v/>
      </c>
      <c r="J23" s="51">
        <f>INDEX('Auto Feed'!$H$2:$H$139,MATCH($B23,'Auto Feed'!$A$2:$A$139,0))</f>
        <v/>
      </c>
      <c r="K23" s="32">
        <f>((G23-AVERAGE('Auto Feed'!$E$2:$E$139))/STDEV('Auto Feed'!$E$2:$E$139))+((H23-AVERAGE('Auto Feed'!$F$2:$F$139))/STDEV('Auto Feed'!$F$2:$F$139))+((I23-AVERAGE('Auto Feed'!$G$2:$G$139))/STDEV('Auto Feed'!$G$2:$G$139))-((J23-AVERAGE('Auto Feed'!$H$2:$H$139))/STDEV('Auto Feed'!$H$2:$H$139))</f>
        <v/>
      </c>
      <c r="L23" s="31">
        <f>((E23-AVERAGE('Auto Feed'!$C$2:$C$139))/STDEV('Auto Feed'!$C$2:$C$139))*'Weights &amp; Params'!$B$14</f>
        <v/>
      </c>
      <c r="M23" s="31">
        <f>((F23-AVERAGE('Auto Feed'!$D$2:$D$139))/STDEV('Auto Feed'!$D$2:$D$139))*'Weights &amp; Params'!$B$14</f>
        <v/>
      </c>
      <c r="N23" s="31">
        <f>((K23-AVERAGE($K$2:$K$139))/STDEV($K$2:$K$139))*'Weights &amp; Params'!$B$14</f>
        <v/>
      </c>
      <c r="O23" s="33">
        <f>'Weights &amp; Params'!$B$5*D23+'Weights &amp; Params'!$B$6*L23+'Weights &amp; Params'!$B$7*M23+'Weights &amp; Params'!$B$8*N23+'Weights &amp; Params'!$B$17*S23</f>
        <v/>
      </c>
      <c r="P23" s="54">
        <f>INDEX('Auto Feed'!$I$2:$I$139,MATCH($B23,'Auto Feed'!$A$2:$A$139,0))</f>
        <v/>
      </c>
      <c r="Q23" s="54">
        <f>INDEX('Auto Feed'!$J$2:$J$139,MATCH($B23,'Auto Feed'!$A$2:$A$139,0))</f>
        <v/>
      </c>
      <c r="R23" s="54">
        <f>((P23-AVERAGE('Auto Feed'!$I$2:$I$139))/STDEV('Auto Feed'!$I$2:$I$139))-((Q23-AVERAGE('Auto Feed'!$J$2:$J$139))/STDEV('Auto Feed'!$J$2:$J$139))</f>
        <v/>
      </c>
      <c r="S23" s="54">
        <f>((R23-AVERAGE($R$2:$R$139))/STDEV($R$2:$R$139))*'Weights &amp; Params'!$B$14</f>
        <v/>
      </c>
    </row>
    <row r="24">
      <c r="A24" s="12">
        <f>RANK(O24,$O$2:$O$139,0)</f>
        <v/>
      </c>
      <c r="B24" s="30" t="inlineStr">
        <is>
          <t>Coastal Carolina</t>
        </is>
      </c>
      <c r="C24" s="23">
        <f>INDEX('Auto Feed'!$B$2:$B$139,MATCH($B24,'Auto Feed'!$A$2:$A$139,0))</f>
        <v/>
      </c>
      <c r="D24" s="31">
        <f>INDEX('Weekly Input'!$B$2:$B$139,MATCH($B24,'Weekly Input'!$A$2:$A$139,0))</f>
        <v/>
      </c>
      <c r="E24" s="31">
        <f>INDEX('Auto Feed'!$C$2:$C$139,MATCH($B24,'Auto Feed'!$A$2:$A$139,0))</f>
        <v/>
      </c>
      <c r="F24" s="31">
        <f>INDEX('Auto Feed'!$D$2:$D$139,MATCH($B24,'Auto Feed'!$A$2:$A$139,0))</f>
        <v/>
      </c>
      <c r="G24" s="51">
        <f>INDEX('Auto Feed'!$E$2:$E$139,MATCH($B24,'Auto Feed'!$A$2:$A$139,0))</f>
        <v/>
      </c>
      <c r="H24" s="51">
        <f>INDEX('Auto Feed'!$F$2:$F$139,MATCH($B24,'Auto Feed'!$A$2:$A$139,0))</f>
        <v/>
      </c>
      <c r="I24" s="51">
        <f>INDEX('Auto Feed'!$G$2:$G$139,MATCH($B24,'Auto Feed'!$A$2:$A$139,0))</f>
        <v/>
      </c>
      <c r="J24" s="51">
        <f>INDEX('Auto Feed'!$H$2:$H$139,MATCH($B24,'Auto Feed'!$A$2:$A$139,0))</f>
        <v/>
      </c>
      <c r="K24" s="32">
        <f>((G24-AVERAGE('Auto Feed'!$E$2:$E$139))/STDEV('Auto Feed'!$E$2:$E$139))+((H24-AVERAGE('Auto Feed'!$F$2:$F$139))/STDEV('Auto Feed'!$F$2:$F$139))+((I24-AVERAGE('Auto Feed'!$G$2:$G$139))/STDEV('Auto Feed'!$G$2:$G$139))-((J24-AVERAGE('Auto Feed'!$H$2:$H$139))/STDEV('Auto Feed'!$H$2:$H$139))</f>
        <v/>
      </c>
      <c r="L24" s="31">
        <f>((E24-AVERAGE('Auto Feed'!$C$2:$C$139))/STDEV('Auto Feed'!$C$2:$C$139))*'Weights &amp; Params'!$B$14</f>
        <v/>
      </c>
      <c r="M24" s="31">
        <f>((F24-AVERAGE('Auto Feed'!$D$2:$D$139))/STDEV('Auto Feed'!$D$2:$D$139))*'Weights &amp; Params'!$B$14</f>
        <v/>
      </c>
      <c r="N24" s="31">
        <f>((K24-AVERAGE($K$2:$K$139))/STDEV($K$2:$K$139))*'Weights &amp; Params'!$B$14</f>
        <v/>
      </c>
      <c r="O24" s="33">
        <f>'Weights &amp; Params'!$B$5*D24+'Weights &amp; Params'!$B$6*L24+'Weights &amp; Params'!$B$7*M24+'Weights &amp; Params'!$B$8*N24+'Weights &amp; Params'!$B$17*S24</f>
        <v/>
      </c>
      <c r="P24" s="54">
        <f>INDEX('Auto Feed'!$I$2:$I$139,MATCH($B24,'Auto Feed'!$A$2:$A$139,0))</f>
        <v/>
      </c>
      <c r="Q24" s="54">
        <f>INDEX('Auto Feed'!$J$2:$J$139,MATCH($B24,'Auto Feed'!$A$2:$A$139,0))</f>
        <v/>
      </c>
      <c r="R24" s="54">
        <f>((P24-AVERAGE('Auto Feed'!$I$2:$I$139))/STDEV('Auto Feed'!$I$2:$I$139))-((Q24-AVERAGE('Auto Feed'!$J$2:$J$139))/STDEV('Auto Feed'!$J$2:$J$139))</f>
        <v/>
      </c>
      <c r="S24" s="54">
        <f>((R24-AVERAGE($R$2:$R$139))/STDEV($R$2:$R$139))*'Weights &amp; Params'!$B$14</f>
        <v/>
      </c>
    </row>
    <row r="25">
      <c r="A25" s="12">
        <f>RANK(O25,$O$2:$O$139,0)</f>
        <v/>
      </c>
      <c r="B25" s="30" t="inlineStr">
        <is>
          <t>Colorado</t>
        </is>
      </c>
      <c r="C25" s="23">
        <f>INDEX('Auto Feed'!$B$2:$B$139,MATCH($B25,'Auto Feed'!$A$2:$A$139,0))</f>
        <v/>
      </c>
      <c r="D25" s="31">
        <f>INDEX('Weekly Input'!$B$2:$B$139,MATCH($B25,'Weekly Input'!$A$2:$A$139,0))</f>
        <v/>
      </c>
      <c r="E25" s="31">
        <f>INDEX('Auto Feed'!$C$2:$C$139,MATCH($B25,'Auto Feed'!$A$2:$A$139,0))</f>
        <v/>
      </c>
      <c r="F25" s="31">
        <f>INDEX('Auto Feed'!$D$2:$D$139,MATCH($B25,'Auto Feed'!$A$2:$A$139,0))</f>
        <v/>
      </c>
      <c r="G25" s="51">
        <f>INDEX('Auto Feed'!$E$2:$E$139,MATCH($B25,'Auto Feed'!$A$2:$A$139,0))</f>
        <v/>
      </c>
      <c r="H25" s="51">
        <f>INDEX('Auto Feed'!$F$2:$F$139,MATCH($B25,'Auto Feed'!$A$2:$A$139,0))</f>
        <v/>
      </c>
      <c r="I25" s="51">
        <f>INDEX('Auto Feed'!$G$2:$G$139,MATCH($B25,'Auto Feed'!$A$2:$A$139,0))</f>
        <v/>
      </c>
      <c r="J25" s="51">
        <f>INDEX('Auto Feed'!$H$2:$H$139,MATCH($B25,'Auto Feed'!$A$2:$A$139,0))</f>
        <v/>
      </c>
      <c r="K25" s="32">
        <f>((G25-AVERAGE('Auto Feed'!$E$2:$E$139))/STDEV('Auto Feed'!$E$2:$E$139))+((H25-AVERAGE('Auto Feed'!$F$2:$F$139))/STDEV('Auto Feed'!$F$2:$F$139))+((I25-AVERAGE('Auto Feed'!$G$2:$G$139))/STDEV('Auto Feed'!$G$2:$G$139))-((J25-AVERAGE('Auto Feed'!$H$2:$H$139))/STDEV('Auto Feed'!$H$2:$H$139))</f>
        <v/>
      </c>
      <c r="L25" s="31">
        <f>((E25-AVERAGE('Auto Feed'!$C$2:$C$139))/STDEV('Auto Feed'!$C$2:$C$139))*'Weights &amp; Params'!$B$14</f>
        <v/>
      </c>
      <c r="M25" s="31">
        <f>((F25-AVERAGE('Auto Feed'!$D$2:$D$139))/STDEV('Auto Feed'!$D$2:$D$139))*'Weights &amp; Params'!$B$14</f>
        <v/>
      </c>
      <c r="N25" s="31">
        <f>((K25-AVERAGE($K$2:$K$139))/STDEV($K$2:$K$139))*'Weights &amp; Params'!$B$14</f>
        <v/>
      </c>
      <c r="O25" s="33">
        <f>'Weights &amp; Params'!$B$5*D25+'Weights &amp; Params'!$B$6*L25+'Weights &amp; Params'!$B$7*M25+'Weights &amp; Params'!$B$8*N25+'Weights &amp; Params'!$B$17*S25</f>
        <v/>
      </c>
      <c r="P25" s="54">
        <f>INDEX('Auto Feed'!$I$2:$I$139,MATCH($B25,'Auto Feed'!$A$2:$A$139,0))</f>
        <v/>
      </c>
      <c r="Q25" s="54">
        <f>INDEX('Auto Feed'!$J$2:$J$139,MATCH($B25,'Auto Feed'!$A$2:$A$139,0))</f>
        <v/>
      </c>
      <c r="R25" s="54">
        <f>((P25-AVERAGE('Auto Feed'!$I$2:$I$139))/STDEV('Auto Feed'!$I$2:$I$139))-((Q25-AVERAGE('Auto Feed'!$J$2:$J$139))/STDEV('Auto Feed'!$J$2:$J$139))</f>
        <v/>
      </c>
      <c r="S25" s="54">
        <f>((R25-AVERAGE($R$2:$R$139))/STDEV($R$2:$R$139))*'Weights &amp; Params'!$B$14</f>
        <v/>
      </c>
    </row>
    <row r="26">
      <c r="A26" s="12">
        <f>RANK(O26,$O$2:$O$139,0)</f>
        <v/>
      </c>
      <c r="B26" s="30" t="inlineStr">
        <is>
          <t>Colorado State</t>
        </is>
      </c>
      <c r="C26" s="23">
        <f>INDEX('Auto Feed'!$B$2:$B$139,MATCH($B26,'Auto Feed'!$A$2:$A$139,0))</f>
        <v/>
      </c>
      <c r="D26" s="31">
        <f>INDEX('Weekly Input'!$B$2:$B$139,MATCH($B26,'Weekly Input'!$A$2:$A$139,0))</f>
        <v/>
      </c>
      <c r="E26" s="31">
        <f>INDEX('Auto Feed'!$C$2:$C$139,MATCH($B26,'Auto Feed'!$A$2:$A$139,0))</f>
        <v/>
      </c>
      <c r="F26" s="31">
        <f>INDEX('Auto Feed'!$D$2:$D$139,MATCH($B26,'Auto Feed'!$A$2:$A$139,0))</f>
        <v/>
      </c>
      <c r="G26" s="51">
        <f>INDEX('Auto Feed'!$E$2:$E$139,MATCH($B26,'Auto Feed'!$A$2:$A$139,0))</f>
        <v/>
      </c>
      <c r="H26" s="51">
        <f>INDEX('Auto Feed'!$F$2:$F$139,MATCH($B26,'Auto Feed'!$A$2:$A$139,0))</f>
        <v/>
      </c>
      <c r="I26" s="51">
        <f>INDEX('Auto Feed'!$G$2:$G$139,MATCH($B26,'Auto Feed'!$A$2:$A$139,0))</f>
        <v/>
      </c>
      <c r="J26" s="51">
        <f>INDEX('Auto Feed'!$H$2:$H$139,MATCH($B26,'Auto Feed'!$A$2:$A$139,0))</f>
        <v/>
      </c>
      <c r="K26" s="32">
        <f>((G26-AVERAGE('Auto Feed'!$E$2:$E$139))/STDEV('Auto Feed'!$E$2:$E$139))+((H26-AVERAGE('Auto Feed'!$F$2:$F$139))/STDEV('Auto Feed'!$F$2:$F$139))+((I26-AVERAGE('Auto Feed'!$G$2:$G$139))/STDEV('Auto Feed'!$G$2:$G$139))-((J26-AVERAGE('Auto Feed'!$H$2:$H$139))/STDEV('Auto Feed'!$H$2:$H$139))</f>
        <v/>
      </c>
      <c r="L26" s="31">
        <f>((E26-AVERAGE('Auto Feed'!$C$2:$C$139))/STDEV('Auto Feed'!$C$2:$C$139))*'Weights &amp; Params'!$B$14</f>
        <v/>
      </c>
      <c r="M26" s="31">
        <f>((F26-AVERAGE('Auto Feed'!$D$2:$D$139))/STDEV('Auto Feed'!$D$2:$D$139))*'Weights &amp; Params'!$B$14</f>
        <v/>
      </c>
      <c r="N26" s="31">
        <f>((K26-AVERAGE($K$2:$K$139))/STDEV($K$2:$K$139))*'Weights &amp; Params'!$B$14</f>
        <v/>
      </c>
      <c r="O26" s="33">
        <f>'Weights &amp; Params'!$B$5*D26+'Weights &amp; Params'!$B$6*L26+'Weights &amp; Params'!$B$7*M26+'Weights &amp; Params'!$B$8*N26+'Weights &amp; Params'!$B$17*S26</f>
        <v/>
      </c>
      <c r="P26" s="54">
        <f>INDEX('Auto Feed'!$I$2:$I$139,MATCH($B26,'Auto Feed'!$A$2:$A$139,0))</f>
        <v/>
      </c>
      <c r="Q26" s="54">
        <f>INDEX('Auto Feed'!$J$2:$J$139,MATCH($B26,'Auto Feed'!$A$2:$A$139,0))</f>
        <v/>
      </c>
      <c r="R26" s="54">
        <f>((P26-AVERAGE('Auto Feed'!$I$2:$I$139))/STDEV('Auto Feed'!$I$2:$I$139))-((Q26-AVERAGE('Auto Feed'!$J$2:$J$139))/STDEV('Auto Feed'!$J$2:$J$139))</f>
        <v/>
      </c>
      <c r="S26" s="54">
        <f>((R26-AVERAGE($R$2:$R$139))/STDEV($R$2:$R$139))*'Weights &amp; Params'!$B$14</f>
        <v/>
      </c>
    </row>
    <row r="27">
      <c r="A27" s="12">
        <f>RANK(O27,$O$2:$O$139,0)</f>
        <v/>
      </c>
      <c r="B27" s="30" t="inlineStr">
        <is>
          <t>Delaware</t>
        </is>
      </c>
      <c r="C27" s="23">
        <f>INDEX('Auto Feed'!$B$2:$B$139,MATCH($B27,'Auto Feed'!$A$2:$A$139,0))</f>
        <v/>
      </c>
      <c r="D27" s="31">
        <f>INDEX('Weekly Input'!$B$2:$B$139,MATCH($B27,'Weekly Input'!$A$2:$A$139,0))</f>
        <v/>
      </c>
      <c r="E27" s="31">
        <f>INDEX('Auto Feed'!$C$2:$C$139,MATCH($B27,'Auto Feed'!$A$2:$A$139,0))</f>
        <v/>
      </c>
      <c r="F27" s="31">
        <f>INDEX('Auto Feed'!$D$2:$D$139,MATCH($B27,'Auto Feed'!$A$2:$A$139,0))</f>
        <v/>
      </c>
      <c r="G27" s="51">
        <f>INDEX('Auto Feed'!$E$2:$E$139,MATCH($B27,'Auto Feed'!$A$2:$A$139,0))</f>
        <v/>
      </c>
      <c r="H27" s="51">
        <f>INDEX('Auto Feed'!$F$2:$F$139,MATCH($B27,'Auto Feed'!$A$2:$A$139,0))</f>
        <v/>
      </c>
      <c r="I27" s="51">
        <f>INDEX('Auto Feed'!$G$2:$G$139,MATCH($B27,'Auto Feed'!$A$2:$A$139,0))</f>
        <v/>
      </c>
      <c r="J27" s="51">
        <f>INDEX('Auto Feed'!$H$2:$H$139,MATCH($B27,'Auto Feed'!$A$2:$A$139,0))</f>
        <v/>
      </c>
      <c r="K27" s="32">
        <f>((G27-AVERAGE('Auto Feed'!$E$2:$E$139))/STDEV('Auto Feed'!$E$2:$E$139))+((H27-AVERAGE('Auto Feed'!$F$2:$F$139))/STDEV('Auto Feed'!$F$2:$F$139))+((I27-AVERAGE('Auto Feed'!$G$2:$G$139))/STDEV('Auto Feed'!$G$2:$G$139))-((J27-AVERAGE('Auto Feed'!$H$2:$H$139))/STDEV('Auto Feed'!$H$2:$H$139))</f>
        <v/>
      </c>
      <c r="L27" s="31">
        <f>((E27-AVERAGE('Auto Feed'!$C$2:$C$139))/STDEV('Auto Feed'!$C$2:$C$139))*'Weights &amp; Params'!$B$14</f>
        <v/>
      </c>
      <c r="M27" s="31">
        <f>((F27-AVERAGE('Auto Feed'!$D$2:$D$139))/STDEV('Auto Feed'!$D$2:$D$139))*'Weights &amp; Params'!$B$14</f>
        <v/>
      </c>
      <c r="N27" s="31">
        <f>((K27-AVERAGE($K$2:$K$139))/STDEV($K$2:$K$139))*'Weights &amp; Params'!$B$14</f>
        <v/>
      </c>
      <c r="O27" s="33">
        <f>'Weights &amp; Params'!$B$5*D27+'Weights &amp; Params'!$B$6*L27+'Weights &amp; Params'!$B$7*M27+'Weights &amp; Params'!$B$8*N27+'Weights &amp; Params'!$B$17*S27</f>
        <v/>
      </c>
      <c r="P27" s="54">
        <f>INDEX('Auto Feed'!$I$2:$I$139,MATCH($B27,'Auto Feed'!$A$2:$A$139,0))</f>
        <v/>
      </c>
      <c r="Q27" s="54">
        <f>INDEX('Auto Feed'!$J$2:$J$139,MATCH($B27,'Auto Feed'!$A$2:$A$139,0))</f>
        <v/>
      </c>
      <c r="R27" s="54">
        <f>((P27-AVERAGE('Auto Feed'!$I$2:$I$139))/STDEV('Auto Feed'!$I$2:$I$139))-((Q27-AVERAGE('Auto Feed'!$J$2:$J$139))/STDEV('Auto Feed'!$J$2:$J$139))</f>
        <v/>
      </c>
      <c r="S27" s="54">
        <f>((R27-AVERAGE($R$2:$R$139))/STDEV($R$2:$R$139))*'Weights &amp; Params'!$B$14</f>
        <v/>
      </c>
    </row>
    <row r="28">
      <c r="A28" s="12">
        <f>RANK(O28,$O$2:$O$139,0)</f>
        <v/>
      </c>
      <c r="B28" s="30" t="inlineStr">
        <is>
          <t>Duke</t>
        </is>
      </c>
      <c r="C28" s="23">
        <f>INDEX('Auto Feed'!$B$2:$B$139,MATCH($B28,'Auto Feed'!$A$2:$A$139,0))</f>
        <v/>
      </c>
      <c r="D28" s="31">
        <f>INDEX('Weekly Input'!$B$2:$B$139,MATCH($B28,'Weekly Input'!$A$2:$A$139,0))</f>
        <v/>
      </c>
      <c r="E28" s="31">
        <f>INDEX('Auto Feed'!$C$2:$C$139,MATCH($B28,'Auto Feed'!$A$2:$A$139,0))</f>
        <v/>
      </c>
      <c r="F28" s="31">
        <f>INDEX('Auto Feed'!$D$2:$D$139,MATCH($B28,'Auto Feed'!$A$2:$A$139,0))</f>
        <v/>
      </c>
      <c r="G28" s="51">
        <f>INDEX('Auto Feed'!$E$2:$E$139,MATCH($B28,'Auto Feed'!$A$2:$A$139,0))</f>
        <v/>
      </c>
      <c r="H28" s="51">
        <f>INDEX('Auto Feed'!$F$2:$F$139,MATCH($B28,'Auto Feed'!$A$2:$A$139,0))</f>
        <v/>
      </c>
      <c r="I28" s="51">
        <f>INDEX('Auto Feed'!$G$2:$G$139,MATCH($B28,'Auto Feed'!$A$2:$A$139,0))</f>
        <v/>
      </c>
      <c r="J28" s="51">
        <f>INDEX('Auto Feed'!$H$2:$H$139,MATCH($B28,'Auto Feed'!$A$2:$A$139,0))</f>
        <v/>
      </c>
      <c r="K28" s="32">
        <f>((G28-AVERAGE('Auto Feed'!$E$2:$E$139))/STDEV('Auto Feed'!$E$2:$E$139))+((H28-AVERAGE('Auto Feed'!$F$2:$F$139))/STDEV('Auto Feed'!$F$2:$F$139))+((I28-AVERAGE('Auto Feed'!$G$2:$G$139))/STDEV('Auto Feed'!$G$2:$G$139))-((J28-AVERAGE('Auto Feed'!$H$2:$H$139))/STDEV('Auto Feed'!$H$2:$H$139))</f>
        <v/>
      </c>
      <c r="L28" s="31">
        <f>((E28-AVERAGE('Auto Feed'!$C$2:$C$139))/STDEV('Auto Feed'!$C$2:$C$139))*'Weights &amp; Params'!$B$14</f>
        <v/>
      </c>
      <c r="M28" s="31">
        <f>((F28-AVERAGE('Auto Feed'!$D$2:$D$139))/STDEV('Auto Feed'!$D$2:$D$139))*'Weights &amp; Params'!$B$14</f>
        <v/>
      </c>
      <c r="N28" s="31">
        <f>((K28-AVERAGE($K$2:$K$139))/STDEV($K$2:$K$139))*'Weights &amp; Params'!$B$14</f>
        <v/>
      </c>
      <c r="O28" s="33">
        <f>'Weights &amp; Params'!$B$5*D28+'Weights &amp; Params'!$B$6*L28+'Weights &amp; Params'!$B$7*M28+'Weights &amp; Params'!$B$8*N28+'Weights &amp; Params'!$B$17*S28</f>
        <v/>
      </c>
      <c r="P28" s="54">
        <f>INDEX('Auto Feed'!$I$2:$I$139,MATCH($B28,'Auto Feed'!$A$2:$A$139,0))</f>
        <v/>
      </c>
      <c r="Q28" s="54">
        <f>INDEX('Auto Feed'!$J$2:$J$139,MATCH($B28,'Auto Feed'!$A$2:$A$139,0))</f>
        <v/>
      </c>
      <c r="R28" s="54">
        <f>((P28-AVERAGE('Auto Feed'!$I$2:$I$139))/STDEV('Auto Feed'!$I$2:$I$139))-((Q28-AVERAGE('Auto Feed'!$J$2:$J$139))/STDEV('Auto Feed'!$J$2:$J$139))</f>
        <v/>
      </c>
      <c r="S28" s="54">
        <f>((R28-AVERAGE($R$2:$R$139))/STDEV($R$2:$R$139))*'Weights &amp; Params'!$B$14</f>
        <v/>
      </c>
    </row>
    <row r="29">
      <c r="A29" s="12">
        <f>RANK(O29,$O$2:$O$139,0)</f>
        <v/>
      </c>
      <c r="B29" s="30" t="inlineStr">
        <is>
          <t>East Carolina</t>
        </is>
      </c>
      <c r="C29" s="23">
        <f>INDEX('Auto Feed'!$B$2:$B$139,MATCH($B29,'Auto Feed'!$A$2:$A$139,0))</f>
        <v/>
      </c>
      <c r="D29" s="31">
        <f>INDEX('Weekly Input'!$B$2:$B$139,MATCH($B29,'Weekly Input'!$A$2:$A$139,0))</f>
        <v/>
      </c>
      <c r="E29" s="31">
        <f>INDEX('Auto Feed'!$C$2:$C$139,MATCH($B29,'Auto Feed'!$A$2:$A$139,0))</f>
        <v/>
      </c>
      <c r="F29" s="31">
        <f>INDEX('Auto Feed'!$D$2:$D$139,MATCH($B29,'Auto Feed'!$A$2:$A$139,0))</f>
        <v/>
      </c>
      <c r="G29" s="51">
        <f>INDEX('Auto Feed'!$E$2:$E$139,MATCH($B29,'Auto Feed'!$A$2:$A$139,0))</f>
        <v/>
      </c>
      <c r="H29" s="51">
        <f>INDEX('Auto Feed'!$F$2:$F$139,MATCH($B29,'Auto Feed'!$A$2:$A$139,0))</f>
        <v/>
      </c>
      <c r="I29" s="51">
        <f>INDEX('Auto Feed'!$G$2:$G$139,MATCH($B29,'Auto Feed'!$A$2:$A$139,0))</f>
        <v/>
      </c>
      <c r="J29" s="51">
        <f>INDEX('Auto Feed'!$H$2:$H$139,MATCH($B29,'Auto Feed'!$A$2:$A$139,0))</f>
        <v/>
      </c>
      <c r="K29" s="32">
        <f>((G29-AVERAGE('Auto Feed'!$E$2:$E$139))/STDEV('Auto Feed'!$E$2:$E$139))+((H29-AVERAGE('Auto Feed'!$F$2:$F$139))/STDEV('Auto Feed'!$F$2:$F$139))+((I29-AVERAGE('Auto Feed'!$G$2:$G$139))/STDEV('Auto Feed'!$G$2:$G$139))-((J29-AVERAGE('Auto Feed'!$H$2:$H$139))/STDEV('Auto Feed'!$H$2:$H$139))</f>
        <v/>
      </c>
      <c r="L29" s="31">
        <f>((E29-AVERAGE('Auto Feed'!$C$2:$C$139))/STDEV('Auto Feed'!$C$2:$C$139))*'Weights &amp; Params'!$B$14</f>
        <v/>
      </c>
      <c r="M29" s="31">
        <f>((F29-AVERAGE('Auto Feed'!$D$2:$D$139))/STDEV('Auto Feed'!$D$2:$D$139))*'Weights &amp; Params'!$B$14</f>
        <v/>
      </c>
      <c r="N29" s="31">
        <f>((K29-AVERAGE($K$2:$K$139))/STDEV($K$2:$K$139))*'Weights &amp; Params'!$B$14</f>
        <v/>
      </c>
      <c r="O29" s="33">
        <f>'Weights &amp; Params'!$B$5*D29+'Weights &amp; Params'!$B$6*L29+'Weights &amp; Params'!$B$7*M29+'Weights &amp; Params'!$B$8*N29+'Weights &amp; Params'!$B$17*S29</f>
        <v/>
      </c>
      <c r="P29" s="54">
        <f>INDEX('Auto Feed'!$I$2:$I$139,MATCH($B29,'Auto Feed'!$A$2:$A$139,0))</f>
        <v/>
      </c>
      <c r="Q29" s="54">
        <f>INDEX('Auto Feed'!$J$2:$J$139,MATCH($B29,'Auto Feed'!$A$2:$A$139,0))</f>
        <v/>
      </c>
      <c r="R29" s="54">
        <f>((P29-AVERAGE('Auto Feed'!$I$2:$I$139))/STDEV('Auto Feed'!$I$2:$I$139))-((Q29-AVERAGE('Auto Feed'!$J$2:$J$139))/STDEV('Auto Feed'!$J$2:$J$139))</f>
        <v/>
      </c>
      <c r="S29" s="54">
        <f>((R29-AVERAGE($R$2:$R$139))/STDEV($R$2:$R$139))*'Weights &amp; Params'!$B$14</f>
        <v/>
      </c>
    </row>
    <row r="30">
      <c r="A30" s="12">
        <f>RANK(O30,$O$2:$O$139,0)</f>
        <v/>
      </c>
      <c r="B30" s="30" t="inlineStr">
        <is>
          <t>Eastern Michigan</t>
        </is>
      </c>
      <c r="C30" s="23">
        <f>INDEX('Auto Feed'!$B$2:$B$139,MATCH($B30,'Auto Feed'!$A$2:$A$139,0))</f>
        <v/>
      </c>
      <c r="D30" s="31">
        <f>INDEX('Weekly Input'!$B$2:$B$139,MATCH($B30,'Weekly Input'!$A$2:$A$139,0))</f>
        <v/>
      </c>
      <c r="E30" s="31">
        <f>INDEX('Auto Feed'!$C$2:$C$139,MATCH($B30,'Auto Feed'!$A$2:$A$139,0))</f>
        <v/>
      </c>
      <c r="F30" s="31">
        <f>INDEX('Auto Feed'!$D$2:$D$139,MATCH($B30,'Auto Feed'!$A$2:$A$139,0))</f>
        <v/>
      </c>
      <c r="G30" s="51">
        <f>INDEX('Auto Feed'!$E$2:$E$139,MATCH($B30,'Auto Feed'!$A$2:$A$139,0))</f>
        <v/>
      </c>
      <c r="H30" s="51">
        <f>INDEX('Auto Feed'!$F$2:$F$139,MATCH($B30,'Auto Feed'!$A$2:$A$139,0))</f>
        <v/>
      </c>
      <c r="I30" s="51">
        <f>INDEX('Auto Feed'!$G$2:$G$139,MATCH($B30,'Auto Feed'!$A$2:$A$139,0))</f>
        <v/>
      </c>
      <c r="J30" s="51">
        <f>INDEX('Auto Feed'!$H$2:$H$139,MATCH($B30,'Auto Feed'!$A$2:$A$139,0))</f>
        <v/>
      </c>
      <c r="K30" s="32">
        <f>((G30-AVERAGE('Auto Feed'!$E$2:$E$139))/STDEV('Auto Feed'!$E$2:$E$139))+((H30-AVERAGE('Auto Feed'!$F$2:$F$139))/STDEV('Auto Feed'!$F$2:$F$139))+((I30-AVERAGE('Auto Feed'!$G$2:$G$139))/STDEV('Auto Feed'!$G$2:$G$139))-((J30-AVERAGE('Auto Feed'!$H$2:$H$139))/STDEV('Auto Feed'!$H$2:$H$139))</f>
        <v/>
      </c>
      <c r="L30" s="31">
        <f>((E30-AVERAGE('Auto Feed'!$C$2:$C$139))/STDEV('Auto Feed'!$C$2:$C$139))*'Weights &amp; Params'!$B$14</f>
        <v/>
      </c>
      <c r="M30" s="31">
        <f>((F30-AVERAGE('Auto Feed'!$D$2:$D$139))/STDEV('Auto Feed'!$D$2:$D$139))*'Weights &amp; Params'!$B$14</f>
        <v/>
      </c>
      <c r="N30" s="31">
        <f>((K30-AVERAGE($K$2:$K$139))/STDEV($K$2:$K$139))*'Weights &amp; Params'!$B$14</f>
        <v/>
      </c>
      <c r="O30" s="33">
        <f>'Weights &amp; Params'!$B$5*D30+'Weights &amp; Params'!$B$6*L30+'Weights &amp; Params'!$B$7*M30+'Weights &amp; Params'!$B$8*N30+'Weights &amp; Params'!$B$17*S30</f>
        <v/>
      </c>
      <c r="P30" s="54">
        <f>INDEX('Auto Feed'!$I$2:$I$139,MATCH($B30,'Auto Feed'!$A$2:$A$139,0))</f>
        <v/>
      </c>
      <c r="Q30" s="54">
        <f>INDEX('Auto Feed'!$J$2:$J$139,MATCH($B30,'Auto Feed'!$A$2:$A$139,0))</f>
        <v/>
      </c>
      <c r="R30" s="54">
        <f>((P30-AVERAGE('Auto Feed'!$I$2:$I$139))/STDEV('Auto Feed'!$I$2:$I$139))-((Q30-AVERAGE('Auto Feed'!$J$2:$J$139))/STDEV('Auto Feed'!$J$2:$J$139))</f>
        <v/>
      </c>
      <c r="S30" s="54">
        <f>((R30-AVERAGE($R$2:$R$139))/STDEV($R$2:$R$139))*'Weights &amp; Params'!$B$14</f>
        <v/>
      </c>
    </row>
    <row r="31">
      <c r="A31" s="12">
        <f>RANK(O31,$O$2:$O$139,0)</f>
        <v/>
      </c>
      <c r="B31" s="30" t="inlineStr">
        <is>
          <t>Florida</t>
        </is>
      </c>
      <c r="C31" s="23">
        <f>INDEX('Auto Feed'!$B$2:$B$139,MATCH($B31,'Auto Feed'!$A$2:$A$139,0))</f>
        <v/>
      </c>
      <c r="D31" s="31">
        <f>INDEX('Weekly Input'!$B$2:$B$139,MATCH($B31,'Weekly Input'!$A$2:$A$139,0))</f>
        <v/>
      </c>
      <c r="E31" s="31">
        <f>INDEX('Auto Feed'!$C$2:$C$139,MATCH($B31,'Auto Feed'!$A$2:$A$139,0))</f>
        <v/>
      </c>
      <c r="F31" s="31">
        <f>INDEX('Auto Feed'!$D$2:$D$139,MATCH($B31,'Auto Feed'!$A$2:$A$139,0))</f>
        <v/>
      </c>
      <c r="G31" s="51">
        <f>INDEX('Auto Feed'!$E$2:$E$139,MATCH($B31,'Auto Feed'!$A$2:$A$139,0))</f>
        <v/>
      </c>
      <c r="H31" s="51">
        <f>INDEX('Auto Feed'!$F$2:$F$139,MATCH($B31,'Auto Feed'!$A$2:$A$139,0))</f>
        <v/>
      </c>
      <c r="I31" s="51">
        <f>INDEX('Auto Feed'!$G$2:$G$139,MATCH($B31,'Auto Feed'!$A$2:$A$139,0))</f>
        <v/>
      </c>
      <c r="J31" s="51">
        <f>INDEX('Auto Feed'!$H$2:$H$139,MATCH($B31,'Auto Feed'!$A$2:$A$139,0))</f>
        <v/>
      </c>
      <c r="K31" s="32">
        <f>((G31-AVERAGE('Auto Feed'!$E$2:$E$139))/STDEV('Auto Feed'!$E$2:$E$139))+((H31-AVERAGE('Auto Feed'!$F$2:$F$139))/STDEV('Auto Feed'!$F$2:$F$139))+((I31-AVERAGE('Auto Feed'!$G$2:$G$139))/STDEV('Auto Feed'!$G$2:$G$139))-((J31-AVERAGE('Auto Feed'!$H$2:$H$139))/STDEV('Auto Feed'!$H$2:$H$139))</f>
        <v/>
      </c>
      <c r="L31" s="31">
        <f>((E31-AVERAGE('Auto Feed'!$C$2:$C$139))/STDEV('Auto Feed'!$C$2:$C$139))*'Weights &amp; Params'!$B$14</f>
        <v/>
      </c>
      <c r="M31" s="31">
        <f>((F31-AVERAGE('Auto Feed'!$D$2:$D$139))/STDEV('Auto Feed'!$D$2:$D$139))*'Weights &amp; Params'!$B$14</f>
        <v/>
      </c>
      <c r="N31" s="31">
        <f>((K31-AVERAGE($K$2:$K$139))/STDEV($K$2:$K$139))*'Weights &amp; Params'!$B$14</f>
        <v/>
      </c>
      <c r="O31" s="33">
        <f>'Weights &amp; Params'!$B$5*D31+'Weights &amp; Params'!$B$6*L31+'Weights &amp; Params'!$B$7*M31+'Weights &amp; Params'!$B$8*N31+'Weights &amp; Params'!$B$17*S31</f>
        <v/>
      </c>
      <c r="P31" s="54">
        <f>INDEX('Auto Feed'!$I$2:$I$139,MATCH($B31,'Auto Feed'!$A$2:$A$139,0))</f>
        <v/>
      </c>
      <c r="Q31" s="54">
        <f>INDEX('Auto Feed'!$J$2:$J$139,MATCH($B31,'Auto Feed'!$A$2:$A$139,0))</f>
        <v/>
      </c>
      <c r="R31" s="54">
        <f>((P31-AVERAGE('Auto Feed'!$I$2:$I$139))/STDEV('Auto Feed'!$I$2:$I$139))-((Q31-AVERAGE('Auto Feed'!$J$2:$J$139))/STDEV('Auto Feed'!$J$2:$J$139))</f>
        <v/>
      </c>
      <c r="S31" s="54">
        <f>((R31-AVERAGE($R$2:$R$139))/STDEV($R$2:$R$139))*'Weights &amp; Params'!$B$14</f>
        <v/>
      </c>
    </row>
    <row r="32">
      <c r="A32" s="12">
        <f>RANK(O32,$O$2:$O$139,0)</f>
        <v/>
      </c>
      <c r="B32" s="30" t="inlineStr">
        <is>
          <t>Florida Atlantic</t>
        </is>
      </c>
      <c r="C32" s="23">
        <f>INDEX('Auto Feed'!$B$2:$B$139,MATCH($B32,'Auto Feed'!$A$2:$A$139,0))</f>
        <v/>
      </c>
      <c r="D32" s="31">
        <f>INDEX('Weekly Input'!$B$2:$B$139,MATCH($B32,'Weekly Input'!$A$2:$A$139,0))</f>
        <v/>
      </c>
      <c r="E32" s="31">
        <f>INDEX('Auto Feed'!$C$2:$C$139,MATCH($B32,'Auto Feed'!$A$2:$A$139,0))</f>
        <v/>
      </c>
      <c r="F32" s="31">
        <f>INDEX('Auto Feed'!$D$2:$D$139,MATCH($B32,'Auto Feed'!$A$2:$A$139,0))</f>
        <v/>
      </c>
      <c r="G32" s="51">
        <f>INDEX('Auto Feed'!$E$2:$E$139,MATCH($B32,'Auto Feed'!$A$2:$A$139,0))</f>
        <v/>
      </c>
      <c r="H32" s="51">
        <f>INDEX('Auto Feed'!$F$2:$F$139,MATCH($B32,'Auto Feed'!$A$2:$A$139,0))</f>
        <v/>
      </c>
      <c r="I32" s="51">
        <f>INDEX('Auto Feed'!$G$2:$G$139,MATCH($B32,'Auto Feed'!$A$2:$A$139,0))</f>
        <v/>
      </c>
      <c r="J32" s="51">
        <f>INDEX('Auto Feed'!$H$2:$H$139,MATCH($B32,'Auto Feed'!$A$2:$A$139,0))</f>
        <v/>
      </c>
      <c r="K32" s="32">
        <f>((G32-AVERAGE('Auto Feed'!$E$2:$E$139))/STDEV('Auto Feed'!$E$2:$E$139))+((H32-AVERAGE('Auto Feed'!$F$2:$F$139))/STDEV('Auto Feed'!$F$2:$F$139))+((I32-AVERAGE('Auto Feed'!$G$2:$G$139))/STDEV('Auto Feed'!$G$2:$G$139))-((J32-AVERAGE('Auto Feed'!$H$2:$H$139))/STDEV('Auto Feed'!$H$2:$H$139))</f>
        <v/>
      </c>
      <c r="L32" s="31">
        <f>((E32-AVERAGE('Auto Feed'!$C$2:$C$139))/STDEV('Auto Feed'!$C$2:$C$139))*'Weights &amp; Params'!$B$14</f>
        <v/>
      </c>
      <c r="M32" s="31">
        <f>((F32-AVERAGE('Auto Feed'!$D$2:$D$139))/STDEV('Auto Feed'!$D$2:$D$139))*'Weights &amp; Params'!$B$14</f>
        <v/>
      </c>
      <c r="N32" s="31">
        <f>((K32-AVERAGE($K$2:$K$139))/STDEV($K$2:$K$139))*'Weights &amp; Params'!$B$14</f>
        <v/>
      </c>
      <c r="O32" s="33">
        <f>'Weights &amp; Params'!$B$5*D32+'Weights &amp; Params'!$B$6*L32+'Weights &amp; Params'!$B$7*M32+'Weights &amp; Params'!$B$8*N32+'Weights &amp; Params'!$B$17*S32</f>
        <v/>
      </c>
      <c r="P32" s="54">
        <f>INDEX('Auto Feed'!$I$2:$I$139,MATCH($B32,'Auto Feed'!$A$2:$A$139,0))</f>
        <v/>
      </c>
      <c r="Q32" s="54">
        <f>INDEX('Auto Feed'!$J$2:$J$139,MATCH($B32,'Auto Feed'!$A$2:$A$139,0))</f>
        <v/>
      </c>
      <c r="R32" s="54">
        <f>((P32-AVERAGE('Auto Feed'!$I$2:$I$139))/STDEV('Auto Feed'!$I$2:$I$139))-((Q32-AVERAGE('Auto Feed'!$J$2:$J$139))/STDEV('Auto Feed'!$J$2:$J$139))</f>
        <v/>
      </c>
      <c r="S32" s="54">
        <f>((R32-AVERAGE($R$2:$R$139))/STDEV($R$2:$R$139))*'Weights &amp; Params'!$B$14</f>
        <v/>
      </c>
    </row>
    <row r="33">
      <c r="A33" s="12">
        <f>RANK(O33,$O$2:$O$139,0)</f>
        <v/>
      </c>
      <c r="B33" s="30" t="inlineStr">
        <is>
          <t>Florida International</t>
        </is>
      </c>
      <c r="C33" s="23">
        <f>INDEX('Auto Feed'!$B$2:$B$139,MATCH($B33,'Auto Feed'!$A$2:$A$139,0))</f>
        <v/>
      </c>
      <c r="D33" s="31">
        <f>INDEX('Weekly Input'!$B$2:$B$139,MATCH($B33,'Weekly Input'!$A$2:$A$139,0))</f>
        <v/>
      </c>
      <c r="E33" s="31">
        <f>INDEX('Auto Feed'!$C$2:$C$139,MATCH($B33,'Auto Feed'!$A$2:$A$139,0))</f>
        <v/>
      </c>
      <c r="F33" s="31">
        <f>INDEX('Auto Feed'!$D$2:$D$139,MATCH($B33,'Auto Feed'!$A$2:$A$139,0))</f>
        <v/>
      </c>
      <c r="G33" s="51">
        <f>INDEX('Auto Feed'!$E$2:$E$139,MATCH($B33,'Auto Feed'!$A$2:$A$139,0))</f>
        <v/>
      </c>
      <c r="H33" s="51">
        <f>INDEX('Auto Feed'!$F$2:$F$139,MATCH($B33,'Auto Feed'!$A$2:$A$139,0))</f>
        <v/>
      </c>
      <c r="I33" s="51">
        <f>INDEX('Auto Feed'!$G$2:$G$139,MATCH($B33,'Auto Feed'!$A$2:$A$139,0))</f>
        <v/>
      </c>
      <c r="J33" s="51">
        <f>INDEX('Auto Feed'!$H$2:$H$139,MATCH($B33,'Auto Feed'!$A$2:$A$139,0))</f>
        <v/>
      </c>
      <c r="K33" s="32">
        <f>((G33-AVERAGE('Auto Feed'!$E$2:$E$139))/STDEV('Auto Feed'!$E$2:$E$139))+((H33-AVERAGE('Auto Feed'!$F$2:$F$139))/STDEV('Auto Feed'!$F$2:$F$139))+((I33-AVERAGE('Auto Feed'!$G$2:$G$139))/STDEV('Auto Feed'!$G$2:$G$139))-((J33-AVERAGE('Auto Feed'!$H$2:$H$139))/STDEV('Auto Feed'!$H$2:$H$139))</f>
        <v/>
      </c>
      <c r="L33" s="31">
        <f>((E33-AVERAGE('Auto Feed'!$C$2:$C$139))/STDEV('Auto Feed'!$C$2:$C$139))*'Weights &amp; Params'!$B$14</f>
        <v/>
      </c>
      <c r="M33" s="31">
        <f>((F33-AVERAGE('Auto Feed'!$D$2:$D$139))/STDEV('Auto Feed'!$D$2:$D$139))*'Weights &amp; Params'!$B$14</f>
        <v/>
      </c>
      <c r="N33" s="31">
        <f>((K33-AVERAGE($K$2:$K$139))/STDEV($K$2:$K$139))*'Weights &amp; Params'!$B$14</f>
        <v/>
      </c>
      <c r="O33" s="33">
        <f>'Weights &amp; Params'!$B$5*D33+'Weights &amp; Params'!$B$6*L33+'Weights &amp; Params'!$B$7*M33+'Weights &amp; Params'!$B$8*N33+'Weights &amp; Params'!$B$17*S33</f>
        <v/>
      </c>
      <c r="P33" s="54">
        <f>INDEX('Auto Feed'!$I$2:$I$139,MATCH($B33,'Auto Feed'!$A$2:$A$139,0))</f>
        <v/>
      </c>
      <c r="Q33" s="54">
        <f>INDEX('Auto Feed'!$J$2:$J$139,MATCH($B33,'Auto Feed'!$A$2:$A$139,0))</f>
        <v/>
      </c>
      <c r="R33" s="54">
        <f>((P33-AVERAGE('Auto Feed'!$I$2:$I$139))/STDEV('Auto Feed'!$I$2:$I$139))-((Q33-AVERAGE('Auto Feed'!$J$2:$J$139))/STDEV('Auto Feed'!$J$2:$J$139))</f>
        <v/>
      </c>
      <c r="S33" s="54">
        <f>((R33-AVERAGE($R$2:$R$139))/STDEV($R$2:$R$139))*'Weights &amp; Params'!$B$14</f>
        <v/>
      </c>
    </row>
    <row r="34">
      <c r="A34" s="12">
        <f>RANK(O34,$O$2:$O$139,0)</f>
        <v/>
      </c>
      <c r="B34" s="30" t="inlineStr">
        <is>
          <t>Florida State</t>
        </is>
      </c>
      <c r="C34" s="23">
        <f>INDEX('Auto Feed'!$B$2:$B$139,MATCH($B34,'Auto Feed'!$A$2:$A$139,0))</f>
        <v/>
      </c>
      <c r="D34" s="31">
        <f>INDEX('Weekly Input'!$B$2:$B$139,MATCH($B34,'Weekly Input'!$A$2:$A$139,0))</f>
        <v/>
      </c>
      <c r="E34" s="31">
        <f>INDEX('Auto Feed'!$C$2:$C$139,MATCH($B34,'Auto Feed'!$A$2:$A$139,0))</f>
        <v/>
      </c>
      <c r="F34" s="31">
        <f>INDEX('Auto Feed'!$D$2:$D$139,MATCH($B34,'Auto Feed'!$A$2:$A$139,0))</f>
        <v/>
      </c>
      <c r="G34" s="51">
        <f>INDEX('Auto Feed'!$E$2:$E$139,MATCH($B34,'Auto Feed'!$A$2:$A$139,0))</f>
        <v/>
      </c>
      <c r="H34" s="51">
        <f>INDEX('Auto Feed'!$F$2:$F$139,MATCH($B34,'Auto Feed'!$A$2:$A$139,0))</f>
        <v/>
      </c>
      <c r="I34" s="51">
        <f>INDEX('Auto Feed'!$G$2:$G$139,MATCH($B34,'Auto Feed'!$A$2:$A$139,0))</f>
        <v/>
      </c>
      <c r="J34" s="51">
        <f>INDEX('Auto Feed'!$H$2:$H$139,MATCH($B34,'Auto Feed'!$A$2:$A$139,0))</f>
        <v/>
      </c>
      <c r="K34" s="32">
        <f>((G34-AVERAGE('Auto Feed'!$E$2:$E$139))/STDEV('Auto Feed'!$E$2:$E$139))+((H34-AVERAGE('Auto Feed'!$F$2:$F$139))/STDEV('Auto Feed'!$F$2:$F$139))+((I34-AVERAGE('Auto Feed'!$G$2:$G$139))/STDEV('Auto Feed'!$G$2:$G$139))-((J34-AVERAGE('Auto Feed'!$H$2:$H$139))/STDEV('Auto Feed'!$H$2:$H$139))</f>
        <v/>
      </c>
      <c r="L34" s="31">
        <f>((E34-AVERAGE('Auto Feed'!$C$2:$C$139))/STDEV('Auto Feed'!$C$2:$C$139))*'Weights &amp; Params'!$B$14</f>
        <v/>
      </c>
      <c r="M34" s="31">
        <f>((F34-AVERAGE('Auto Feed'!$D$2:$D$139))/STDEV('Auto Feed'!$D$2:$D$139))*'Weights &amp; Params'!$B$14</f>
        <v/>
      </c>
      <c r="N34" s="31">
        <f>((K34-AVERAGE($K$2:$K$139))/STDEV($K$2:$K$139))*'Weights &amp; Params'!$B$14</f>
        <v/>
      </c>
      <c r="O34" s="33">
        <f>'Weights &amp; Params'!$B$5*D34+'Weights &amp; Params'!$B$6*L34+'Weights &amp; Params'!$B$7*M34+'Weights &amp; Params'!$B$8*N34+'Weights &amp; Params'!$B$17*S34</f>
        <v/>
      </c>
      <c r="P34" s="54">
        <f>INDEX('Auto Feed'!$I$2:$I$139,MATCH($B34,'Auto Feed'!$A$2:$A$139,0))</f>
        <v/>
      </c>
      <c r="Q34" s="54">
        <f>INDEX('Auto Feed'!$J$2:$J$139,MATCH($B34,'Auto Feed'!$A$2:$A$139,0))</f>
        <v/>
      </c>
      <c r="R34" s="54">
        <f>((P34-AVERAGE('Auto Feed'!$I$2:$I$139))/STDEV('Auto Feed'!$I$2:$I$139))-((Q34-AVERAGE('Auto Feed'!$J$2:$J$139))/STDEV('Auto Feed'!$J$2:$J$139))</f>
        <v/>
      </c>
      <c r="S34" s="54">
        <f>((R34-AVERAGE($R$2:$R$139))/STDEV($R$2:$R$139))*'Weights &amp; Params'!$B$14</f>
        <v/>
      </c>
    </row>
    <row r="35">
      <c r="A35" s="12">
        <f>RANK(O35,$O$2:$O$139,0)</f>
        <v/>
      </c>
      <c r="B35" s="30" t="inlineStr">
        <is>
          <t>Fresno State</t>
        </is>
      </c>
      <c r="C35" s="23">
        <f>INDEX('Auto Feed'!$B$2:$B$139,MATCH($B35,'Auto Feed'!$A$2:$A$139,0))</f>
        <v/>
      </c>
      <c r="D35" s="31">
        <f>INDEX('Weekly Input'!$B$2:$B$139,MATCH($B35,'Weekly Input'!$A$2:$A$139,0))</f>
        <v/>
      </c>
      <c r="E35" s="31">
        <f>INDEX('Auto Feed'!$C$2:$C$139,MATCH($B35,'Auto Feed'!$A$2:$A$139,0))</f>
        <v/>
      </c>
      <c r="F35" s="31">
        <f>INDEX('Auto Feed'!$D$2:$D$139,MATCH($B35,'Auto Feed'!$A$2:$A$139,0))</f>
        <v/>
      </c>
      <c r="G35" s="51">
        <f>INDEX('Auto Feed'!$E$2:$E$139,MATCH($B35,'Auto Feed'!$A$2:$A$139,0))</f>
        <v/>
      </c>
      <c r="H35" s="51">
        <f>INDEX('Auto Feed'!$F$2:$F$139,MATCH($B35,'Auto Feed'!$A$2:$A$139,0))</f>
        <v/>
      </c>
      <c r="I35" s="51">
        <f>INDEX('Auto Feed'!$G$2:$G$139,MATCH($B35,'Auto Feed'!$A$2:$A$139,0))</f>
        <v/>
      </c>
      <c r="J35" s="51">
        <f>INDEX('Auto Feed'!$H$2:$H$139,MATCH($B35,'Auto Feed'!$A$2:$A$139,0))</f>
        <v/>
      </c>
      <c r="K35" s="32">
        <f>((G35-AVERAGE('Auto Feed'!$E$2:$E$139))/STDEV('Auto Feed'!$E$2:$E$139))+((H35-AVERAGE('Auto Feed'!$F$2:$F$139))/STDEV('Auto Feed'!$F$2:$F$139))+((I35-AVERAGE('Auto Feed'!$G$2:$G$139))/STDEV('Auto Feed'!$G$2:$G$139))-((J35-AVERAGE('Auto Feed'!$H$2:$H$139))/STDEV('Auto Feed'!$H$2:$H$139))</f>
        <v/>
      </c>
      <c r="L35" s="31">
        <f>((E35-AVERAGE('Auto Feed'!$C$2:$C$139))/STDEV('Auto Feed'!$C$2:$C$139))*'Weights &amp; Params'!$B$14</f>
        <v/>
      </c>
      <c r="M35" s="31">
        <f>((F35-AVERAGE('Auto Feed'!$D$2:$D$139))/STDEV('Auto Feed'!$D$2:$D$139))*'Weights &amp; Params'!$B$14</f>
        <v/>
      </c>
      <c r="N35" s="31">
        <f>((K35-AVERAGE($K$2:$K$139))/STDEV($K$2:$K$139))*'Weights &amp; Params'!$B$14</f>
        <v/>
      </c>
      <c r="O35" s="33">
        <f>'Weights &amp; Params'!$B$5*D35+'Weights &amp; Params'!$B$6*L35+'Weights &amp; Params'!$B$7*M35+'Weights &amp; Params'!$B$8*N35+'Weights &amp; Params'!$B$17*S35</f>
        <v/>
      </c>
      <c r="P35" s="54">
        <f>INDEX('Auto Feed'!$I$2:$I$139,MATCH($B35,'Auto Feed'!$A$2:$A$139,0))</f>
        <v/>
      </c>
      <c r="Q35" s="54">
        <f>INDEX('Auto Feed'!$J$2:$J$139,MATCH($B35,'Auto Feed'!$A$2:$A$139,0))</f>
        <v/>
      </c>
      <c r="R35" s="54">
        <f>((P35-AVERAGE('Auto Feed'!$I$2:$I$139))/STDEV('Auto Feed'!$I$2:$I$139))-((Q35-AVERAGE('Auto Feed'!$J$2:$J$139))/STDEV('Auto Feed'!$J$2:$J$139))</f>
        <v/>
      </c>
      <c r="S35" s="54">
        <f>((R35-AVERAGE($R$2:$R$139))/STDEV($R$2:$R$139))*'Weights &amp; Params'!$B$14</f>
        <v/>
      </c>
    </row>
    <row r="36">
      <c r="A36" s="12">
        <f>RANK(O36,$O$2:$O$139,0)</f>
        <v/>
      </c>
      <c r="B36" s="30" t="inlineStr">
        <is>
          <t>Georgia</t>
        </is>
      </c>
      <c r="C36" s="23">
        <f>INDEX('Auto Feed'!$B$2:$B$139,MATCH($B36,'Auto Feed'!$A$2:$A$139,0))</f>
        <v/>
      </c>
      <c r="D36" s="31">
        <f>INDEX('Weekly Input'!$B$2:$B$139,MATCH($B36,'Weekly Input'!$A$2:$A$139,0))</f>
        <v/>
      </c>
      <c r="E36" s="31">
        <f>INDEX('Auto Feed'!$C$2:$C$139,MATCH($B36,'Auto Feed'!$A$2:$A$139,0))</f>
        <v/>
      </c>
      <c r="F36" s="31">
        <f>INDEX('Auto Feed'!$D$2:$D$139,MATCH($B36,'Auto Feed'!$A$2:$A$139,0))</f>
        <v/>
      </c>
      <c r="G36" s="51">
        <f>INDEX('Auto Feed'!$E$2:$E$139,MATCH($B36,'Auto Feed'!$A$2:$A$139,0))</f>
        <v/>
      </c>
      <c r="H36" s="51">
        <f>INDEX('Auto Feed'!$F$2:$F$139,MATCH($B36,'Auto Feed'!$A$2:$A$139,0))</f>
        <v/>
      </c>
      <c r="I36" s="51">
        <f>INDEX('Auto Feed'!$G$2:$G$139,MATCH($B36,'Auto Feed'!$A$2:$A$139,0))</f>
        <v/>
      </c>
      <c r="J36" s="51">
        <f>INDEX('Auto Feed'!$H$2:$H$139,MATCH($B36,'Auto Feed'!$A$2:$A$139,0))</f>
        <v/>
      </c>
      <c r="K36" s="32">
        <f>((G36-AVERAGE('Auto Feed'!$E$2:$E$139))/STDEV('Auto Feed'!$E$2:$E$139))+((H36-AVERAGE('Auto Feed'!$F$2:$F$139))/STDEV('Auto Feed'!$F$2:$F$139))+((I36-AVERAGE('Auto Feed'!$G$2:$G$139))/STDEV('Auto Feed'!$G$2:$G$139))-((J36-AVERAGE('Auto Feed'!$H$2:$H$139))/STDEV('Auto Feed'!$H$2:$H$139))</f>
        <v/>
      </c>
      <c r="L36" s="31">
        <f>((E36-AVERAGE('Auto Feed'!$C$2:$C$139))/STDEV('Auto Feed'!$C$2:$C$139))*'Weights &amp; Params'!$B$14</f>
        <v/>
      </c>
      <c r="M36" s="31">
        <f>((F36-AVERAGE('Auto Feed'!$D$2:$D$139))/STDEV('Auto Feed'!$D$2:$D$139))*'Weights &amp; Params'!$B$14</f>
        <v/>
      </c>
      <c r="N36" s="31">
        <f>((K36-AVERAGE($K$2:$K$139))/STDEV($K$2:$K$139))*'Weights &amp; Params'!$B$14</f>
        <v/>
      </c>
      <c r="O36" s="33">
        <f>'Weights &amp; Params'!$B$5*D36+'Weights &amp; Params'!$B$6*L36+'Weights &amp; Params'!$B$7*M36+'Weights &amp; Params'!$B$8*N36+'Weights &amp; Params'!$B$17*S36</f>
        <v/>
      </c>
      <c r="P36" s="54">
        <f>INDEX('Auto Feed'!$I$2:$I$139,MATCH($B36,'Auto Feed'!$A$2:$A$139,0))</f>
        <v/>
      </c>
      <c r="Q36" s="54">
        <f>INDEX('Auto Feed'!$J$2:$J$139,MATCH($B36,'Auto Feed'!$A$2:$A$139,0))</f>
        <v/>
      </c>
      <c r="R36" s="54">
        <f>((P36-AVERAGE('Auto Feed'!$I$2:$I$139))/STDEV('Auto Feed'!$I$2:$I$139))-((Q36-AVERAGE('Auto Feed'!$J$2:$J$139))/STDEV('Auto Feed'!$J$2:$J$139))</f>
        <v/>
      </c>
      <c r="S36" s="54">
        <f>((R36-AVERAGE($R$2:$R$139))/STDEV($R$2:$R$139))*'Weights &amp; Params'!$B$14</f>
        <v/>
      </c>
    </row>
    <row r="37">
      <c r="A37" s="12">
        <f>RANK(O37,$O$2:$O$139,0)</f>
        <v/>
      </c>
      <c r="B37" s="30" t="inlineStr">
        <is>
          <t>Georgia Southern</t>
        </is>
      </c>
      <c r="C37" s="23">
        <f>INDEX('Auto Feed'!$B$2:$B$139,MATCH($B37,'Auto Feed'!$A$2:$A$139,0))</f>
        <v/>
      </c>
      <c r="D37" s="31">
        <f>INDEX('Weekly Input'!$B$2:$B$139,MATCH($B37,'Weekly Input'!$A$2:$A$139,0))</f>
        <v/>
      </c>
      <c r="E37" s="31">
        <f>INDEX('Auto Feed'!$C$2:$C$139,MATCH($B37,'Auto Feed'!$A$2:$A$139,0))</f>
        <v/>
      </c>
      <c r="F37" s="31">
        <f>INDEX('Auto Feed'!$D$2:$D$139,MATCH($B37,'Auto Feed'!$A$2:$A$139,0))</f>
        <v/>
      </c>
      <c r="G37" s="51">
        <f>INDEX('Auto Feed'!$E$2:$E$139,MATCH($B37,'Auto Feed'!$A$2:$A$139,0))</f>
        <v/>
      </c>
      <c r="H37" s="51">
        <f>INDEX('Auto Feed'!$F$2:$F$139,MATCH($B37,'Auto Feed'!$A$2:$A$139,0))</f>
        <v/>
      </c>
      <c r="I37" s="51">
        <f>INDEX('Auto Feed'!$G$2:$G$139,MATCH($B37,'Auto Feed'!$A$2:$A$139,0))</f>
        <v/>
      </c>
      <c r="J37" s="51">
        <f>INDEX('Auto Feed'!$H$2:$H$139,MATCH($B37,'Auto Feed'!$A$2:$A$139,0))</f>
        <v/>
      </c>
      <c r="K37" s="32">
        <f>((G37-AVERAGE('Auto Feed'!$E$2:$E$139))/STDEV('Auto Feed'!$E$2:$E$139))+((H37-AVERAGE('Auto Feed'!$F$2:$F$139))/STDEV('Auto Feed'!$F$2:$F$139))+((I37-AVERAGE('Auto Feed'!$G$2:$G$139))/STDEV('Auto Feed'!$G$2:$G$139))-((J37-AVERAGE('Auto Feed'!$H$2:$H$139))/STDEV('Auto Feed'!$H$2:$H$139))</f>
        <v/>
      </c>
      <c r="L37" s="31">
        <f>((E37-AVERAGE('Auto Feed'!$C$2:$C$139))/STDEV('Auto Feed'!$C$2:$C$139))*'Weights &amp; Params'!$B$14</f>
        <v/>
      </c>
      <c r="M37" s="31">
        <f>((F37-AVERAGE('Auto Feed'!$D$2:$D$139))/STDEV('Auto Feed'!$D$2:$D$139))*'Weights &amp; Params'!$B$14</f>
        <v/>
      </c>
      <c r="N37" s="31">
        <f>((K37-AVERAGE($K$2:$K$139))/STDEV($K$2:$K$139))*'Weights &amp; Params'!$B$14</f>
        <v/>
      </c>
      <c r="O37" s="33">
        <f>'Weights &amp; Params'!$B$5*D37+'Weights &amp; Params'!$B$6*L37+'Weights &amp; Params'!$B$7*M37+'Weights &amp; Params'!$B$8*N37+'Weights &amp; Params'!$B$17*S37</f>
        <v/>
      </c>
      <c r="P37" s="54">
        <f>INDEX('Auto Feed'!$I$2:$I$139,MATCH($B37,'Auto Feed'!$A$2:$A$139,0))</f>
        <v/>
      </c>
      <c r="Q37" s="54">
        <f>INDEX('Auto Feed'!$J$2:$J$139,MATCH($B37,'Auto Feed'!$A$2:$A$139,0))</f>
        <v/>
      </c>
      <c r="R37" s="54">
        <f>((P37-AVERAGE('Auto Feed'!$I$2:$I$139))/STDEV('Auto Feed'!$I$2:$I$139))-((Q37-AVERAGE('Auto Feed'!$J$2:$J$139))/STDEV('Auto Feed'!$J$2:$J$139))</f>
        <v/>
      </c>
      <c r="S37" s="54">
        <f>((R37-AVERAGE($R$2:$R$139))/STDEV($R$2:$R$139))*'Weights &amp; Params'!$B$14</f>
        <v/>
      </c>
    </row>
    <row r="38">
      <c r="A38" s="12">
        <f>RANK(O38,$O$2:$O$139,0)</f>
        <v/>
      </c>
      <c r="B38" s="30" t="inlineStr">
        <is>
          <t>Georgia State</t>
        </is>
      </c>
      <c r="C38" s="23">
        <f>INDEX('Auto Feed'!$B$2:$B$139,MATCH($B38,'Auto Feed'!$A$2:$A$139,0))</f>
        <v/>
      </c>
      <c r="D38" s="31">
        <f>INDEX('Weekly Input'!$B$2:$B$139,MATCH($B38,'Weekly Input'!$A$2:$A$139,0))</f>
        <v/>
      </c>
      <c r="E38" s="31">
        <f>INDEX('Auto Feed'!$C$2:$C$139,MATCH($B38,'Auto Feed'!$A$2:$A$139,0))</f>
        <v/>
      </c>
      <c r="F38" s="31">
        <f>INDEX('Auto Feed'!$D$2:$D$139,MATCH($B38,'Auto Feed'!$A$2:$A$139,0))</f>
        <v/>
      </c>
      <c r="G38" s="51">
        <f>INDEX('Auto Feed'!$E$2:$E$139,MATCH($B38,'Auto Feed'!$A$2:$A$139,0))</f>
        <v/>
      </c>
      <c r="H38" s="51">
        <f>INDEX('Auto Feed'!$F$2:$F$139,MATCH($B38,'Auto Feed'!$A$2:$A$139,0))</f>
        <v/>
      </c>
      <c r="I38" s="51">
        <f>INDEX('Auto Feed'!$G$2:$G$139,MATCH($B38,'Auto Feed'!$A$2:$A$139,0))</f>
        <v/>
      </c>
      <c r="J38" s="51">
        <f>INDEX('Auto Feed'!$H$2:$H$139,MATCH($B38,'Auto Feed'!$A$2:$A$139,0))</f>
        <v/>
      </c>
      <c r="K38" s="32">
        <f>((G38-AVERAGE('Auto Feed'!$E$2:$E$139))/STDEV('Auto Feed'!$E$2:$E$139))+((H38-AVERAGE('Auto Feed'!$F$2:$F$139))/STDEV('Auto Feed'!$F$2:$F$139))+((I38-AVERAGE('Auto Feed'!$G$2:$G$139))/STDEV('Auto Feed'!$G$2:$G$139))-((J38-AVERAGE('Auto Feed'!$H$2:$H$139))/STDEV('Auto Feed'!$H$2:$H$139))</f>
        <v/>
      </c>
      <c r="L38" s="31">
        <f>((E38-AVERAGE('Auto Feed'!$C$2:$C$139))/STDEV('Auto Feed'!$C$2:$C$139))*'Weights &amp; Params'!$B$14</f>
        <v/>
      </c>
      <c r="M38" s="31">
        <f>((F38-AVERAGE('Auto Feed'!$D$2:$D$139))/STDEV('Auto Feed'!$D$2:$D$139))*'Weights &amp; Params'!$B$14</f>
        <v/>
      </c>
      <c r="N38" s="31">
        <f>((K38-AVERAGE($K$2:$K$139))/STDEV($K$2:$K$139))*'Weights &amp; Params'!$B$14</f>
        <v/>
      </c>
      <c r="O38" s="33">
        <f>'Weights &amp; Params'!$B$5*D38+'Weights &amp; Params'!$B$6*L38+'Weights &amp; Params'!$B$7*M38+'Weights &amp; Params'!$B$8*N38+'Weights &amp; Params'!$B$17*S38</f>
        <v/>
      </c>
      <c r="P38" s="54">
        <f>INDEX('Auto Feed'!$I$2:$I$139,MATCH($B38,'Auto Feed'!$A$2:$A$139,0))</f>
        <v/>
      </c>
      <c r="Q38" s="54">
        <f>INDEX('Auto Feed'!$J$2:$J$139,MATCH($B38,'Auto Feed'!$A$2:$A$139,0))</f>
        <v/>
      </c>
      <c r="R38" s="54">
        <f>((P38-AVERAGE('Auto Feed'!$I$2:$I$139))/STDEV('Auto Feed'!$I$2:$I$139))-((Q38-AVERAGE('Auto Feed'!$J$2:$J$139))/STDEV('Auto Feed'!$J$2:$J$139))</f>
        <v/>
      </c>
      <c r="S38" s="54">
        <f>((R38-AVERAGE($R$2:$R$139))/STDEV($R$2:$R$139))*'Weights &amp; Params'!$B$14</f>
        <v/>
      </c>
    </row>
    <row r="39">
      <c r="A39" s="12">
        <f>RANK(O39,$O$2:$O$139,0)</f>
        <v/>
      </c>
      <c r="B39" s="30" t="inlineStr">
        <is>
          <t>Georgia Tech</t>
        </is>
      </c>
      <c r="C39" s="23">
        <f>INDEX('Auto Feed'!$B$2:$B$139,MATCH($B39,'Auto Feed'!$A$2:$A$139,0))</f>
        <v/>
      </c>
      <c r="D39" s="31">
        <f>INDEX('Weekly Input'!$B$2:$B$139,MATCH($B39,'Weekly Input'!$A$2:$A$139,0))</f>
        <v/>
      </c>
      <c r="E39" s="31">
        <f>INDEX('Auto Feed'!$C$2:$C$139,MATCH($B39,'Auto Feed'!$A$2:$A$139,0))</f>
        <v/>
      </c>
      <c r="F39" s="31">
        <f>INDEX('Auto Feed'!$D$2:$D$139,MATCH($B39,'Auto Feed'!$A$2:$A$139,0))</f>
        <v/>
      </c>
      <c r="G39" s="51">
        <f>INDEX('Auto Feed'!$E$2:$E$139,MATCH($B39,'Auto Feed'!$A$2:$A$139,0))</f>
        <v/>
      </c>
      <c r="H39" s="51">
        <f>INDEX('Auto Feed'!$F$2:$F$139,MATCH($B39,'Auto Feed'!$A$2:$A$139,0))</f>
        <v/>
      </c>
      <c r="I39" s="51">
        <f>INDEX('Auto Feed'!$G$2:$G$139,MATCH($B39,'Auto Feed'!$A$2:$A$139,0))</f>
        <v/>
      </c>
      <c r="J39" s="51">
        <f>INDEX('Auto Feed'!$H$2:$H$139,MATCH($B39,'Auto Feed'!$A$2:$A$139,0))</f>
        <v/>
      </c>
      <c r="K39" s="32">
        <f>((G39-AVERAGE('Auto Feed'!$E$2:$E$139))/STDEV('Auto Feed'!$E$2:$E$139))+((H39-AVERAGE('Auto Feed'!$F$2:$F$139))/STDEV('Auto Feed'!$F$2:$F$139))+((I39-AVERAGE('Auto Feed'!$G$2:$G$139))/STDEV('Auto Feed'!$G$2:$G$139))-((J39-AVERAGE('Auto Feed'!$H$2:$H$139))/STDEV('Auto Feed'!$H$2:$H$139))</f>
        <v/>
      </c>
      <c r="L39" s="31">
        <f>((E39-AVERAGE('Auto Feed'!$C$2:$C$139))/STDEV('Auto Feed'!$C$2:$C$139))*'Weights &amp; Params'!$B$14</f>
        <v/>
      </c>
      <c r="M39" s="31">
        <f>((F39-AVERAGE('Auto Feed'!$D$2:$D$139))/STDEV('Auto Feed'!$D$2:$D$139))*'Weights &amp; Params'!$B$14</f>
        <v/>
      </c>
      <c r="N39" s="31">
        <f>((K39-AVERAGE($K$2:$K$139))/STDEV($K$2:$K$139))*'Weights &amp; Params'!$B$14</f>
        <v/>
      </c>
      <c r="O39" s="33">
        <f>'Weights &amp; Params'!$B$5*D39+'Weights &amp; Params'!$B$6*L39+'Weights &amp; Params'!$B$7*M39+'Weights &amp; Params'!$B$8*N39+'Weights &amp; Params'!$B$17*S39</f>
        <v/>
      </c>
      <c r="P39" s="54">
        <f>INDEX('Auto Feed'!$I$2:$I$139,MATCH($B39,'Auto Feed'!$A$2:$A$139,0))</f>
        <v/>
      </c>
      <c r="Q39" s="54">
        <f>INDEX('Auto Feed'!$J$2:$J$139,MATCH($B39,'Auto Feed'!$A$2:$A$139,0))</f>
        <v/>
      </c>
      <c r="R39" s="54">
        <f>((P39-AVERAGE('Auto Feed'!$I$2:$I$139))/STDEV('Auto Feed'!$I$2:$I$139))-((Q39-AVERAGE('Auto Feed'!$J$2:$J$139))/STDEV('Auto Feed'!$J$2:$J$139))</f>
        <v/>
      </c>
      <c r="S39" s="54">
        <f>((R39-AVERAGE($R$2:$R$139))/STDEV($R$2:$R$139))*'Weights &amp; Params'!$B$14</f>
        <v/>
      </c>
    </row>
    <row r="40">
      <c r="A40" s="12">
        <f>RANK(O40,$O$2:$O$139,0)</f>
        <v/>
      </c>
      <c r="B40" s="30" t="inlineStr">
        <is>
          <t>Hawaii</t>
        </is>
      </c>
      <c r="C40" s="23">
        <f>INDEX('Auto Feed'!$B$2:$B$139,MATCH($B40,'Auto Feed'!$A$2:$A$139,0))</f>
        <v/>
      </c>
      <c r="D40" s="31">
        <f>INDEX('Weekly Input'!$B$2:$B$139,MATCH($B40,'Weekly Input'!$A$2:$A$139,0))</f>
        <v/>
      </c>
      <c r="E40" s="31">
        <f>INDEX('Auto Feed'!$C$2:$C$139,MATCH($B40,'Auto Feed'!$A$2:$A$139,0))</f>
        <v/>
      </c>
      <c r="F40" s="31">
        <f>INDEX('Auto Feed'!$D$2:$D$139,MATCH($B40,'Auto Feed'!$A$2:$A$139,0))</f>
        <v/>
      </c>
      <c r="G40" s="51">
        <f>INDEX('Auto Feed'!$E$2:$E$139,MATCH($B40,'Auto Feed'!$A$2:$A$139,0))</f>
        <v/>
      </c>
      <c r="H40" s="51">
        <f>INDEX('Auto Feed'!$F$2:$F$139,MATCH($B40,'Auto Feed'!$A$2:$A$139,0))</f>
        <v/>
      </c>
      <c r="I40" s="51">
        <f>INDEX('Auto Feed'!$G$2:$G$139,MATCH($B40,'Auto Feed'!$A$2:$A$139,0))</f>
        <v/>
      </c>
      <c r="J40" s="51">
        <f>INDEX('Auto Feed'!$H$2:$H$139,MATCH($B40,'Auto Feed'!$A$2:$A$139,0))</f>
        <v/>
      </c>
      <c r="K40" s="32">
        <f>((G40-AVERAGE('Auto Feed'!$E$2:$E$139))/STDEV('Auto Feed'!$E$2:$E$139))+((H40-AVERAGE('Auto Feed'!$F$2:$F$139))/STDEV('Auto Feed'!$F$2:$F$139))+((I40-AVERAGE('Auto Feed'!$G$2:$G$139))/STDEV('Auto Feed'!$G$2:$G$139))-((J40-AVERAGE('Auto Feed'!$H$2:$H$139))/STDEV('Auto Feed'!$H$2:$H$139))</f>
        <v/>
      </c>
      <c r="L40" s="31">
        <f>((E40-AVERAGE('Auto Feed'!$C$2:$C$139))/STDEV('Auto Feed'!$C$2:$C$139))*'Weights &amp; Params'!$B$14</f>
        <v/>
      </c>
      <c r="M40" s="31">
        <f>((F40-AVERAGE('Auto Feed'!$D$2:$D$139))/STDEV('Auto Feed'!$D$2:$D$139))*'Weights &amp; Params'!$B$14</f>
        <v/>
      </c>
      <c r="N40" s="31">
        <f>((K40-AVERAGE($K$2:$K$139))/STDEV($K$2:$K$139))*'Weights &amp; Params'!$B$14</f>
        <v/>
      </c>
      <c r="O40" s="33">
        <f>'Weights &amp; Params'!$B$5*D40+'Weights &amp; Params'!$B$6*L40+'Weights &amp; Params'!$B$7*M40+'Weights &amp; Params'!$B$8*N40+'Weights &amp; Params'!$B$17*S40</f>
        <v/>
      </c>
      <c r="P40" s="54">
        <f>INDEX('Auto Feed'!$I$2:$I$139,MATCH($B40,'Auto Feed'!$A$2:$A$139,0))</f>
        <v/>
      </c>
      <c r="Q40" s="54">
        <f>INDEX('Auto Feed'!$J$2:$J$139,MATCH($B40,'Auto Feed'!$A$2:$A$139,0))</f>
        <v/>
      </c>
      <c r="R40" s="54">
        <f>((P40-AVERAGE('Auto Feed'!$I$2:$I$139))/STDEV('Auto Feed'!$I$2:$I$139))-((Q40-AVERAGE('Auto Feed'!$J$2:$J$139))/STDEV('Auto Feed'!$J$2:$J$139))</f>
        <v/>
      </c>
      <c r="S40" s="54">
        <f>((R40-AVERAGE($R$2:$R$139))/STDEV($R$2:$R$139))*'Weights &amp; Params'!$B$14</f>
        <v/>
      </c>
    </row>
    <row r="41">
      <c r="A41" s="12">
        <f>RANK(O41,$O$2:$O$139,0)</f>
        <v/>
      </c>
      <c r="B41" s="30" t="inlineStr">
        <is>
          <t>Houston</t>
        </is>
      </c>
      <c r="C41" s="23">
        <f>INDEX('Auto Feed'!$B$2:$B$139,MATCH($B41,'Auto Feed'!$A$2:$A$139,0))</f>
        <v/>
      </c>
      <c r="D41" s="31">
        <f>INDEX('Weekly Input'!$B$2:$B$139,MATCH($B41,'Weekly Input'!$A$2:$A$139,0))</f>
        <v/>
      </c>
      <c r="E41" s="31">
        <f>INDEX('Auto Feed'!$C$2:$C$139,MATCH($B41,'Auto Feed'!$A$2:$A$139,0))</f>
        <v/>
      </c>
      <c r="F41" s="31">
        <f>INDEX('Auto Feed'!$D$2:$D$139,MATCH($B41,'Auto Feed'!$A$2:$A$139,0))</f>
        <v/>
      </c>
      <c r="G41" s="51">
        <f>INDEX('Auto Feed'!$E$2:$E$139,MATCH($B41,'Auto Feed'!$A$2:$A$139,0))</f>
        <v/>
      </c>
      <c r="H41" s="51">
        <f>INDEX('Auto Feed'!$F$2:$F$139,MATCH($B41,'Auto Feed'!$A$2:$A$139,0))</f>
        <v/>
      </c>
      <c r="I41" s="51">
        <f>INDEX('Auto Feed'!$G$2:$G$139,MATCH($B41,'Auto Feed'!$A$2:$A$139,0))</f>
        <v/>
      </c>
      <c r="J41" s="51">
        <f>INDEX('Auto Feed'!$H$2:$H$139,MATCH($B41,'Auto Feed'!$A$2:$A$139,0))</f>
        <v/>
      </c>
      <c r="K41" s="32">
        <f>((G41-AVERAGE('Auto Feed'!$E$2:$E$139))/STDEV('Auto Feed'!$E$2:$E$139))+((H41-AVERAGE('Auto Feed'!$F$2:$F$139))/STDEV('Auto Feed'!$F$2:$F$139))+((I41-AVERAGE('Auto Feed'!$G$2:$G$139))/STDEV('Auto Feed'!$G$2:$G$139))-((J41-AVERAGE('Auto Feed'!$H$2:$H$139))/STDEV('Auto Feed'!$H$2:$H$139))</f>
        <v/>
      </c>
      <c r="L41" s="31">
        <f>((E41-AVERAGE('Auto Feed'!$C$2:$C$139))/STDEV('Auto Feed'!$C$2:$C$139))*'Weights &amp; Params'!$B$14</f>
        <v/>
      </c>
      <c r="M41" s="31">
        <f>((F41-AVERAGE('Auto Feed'!$D$2:$D$139))/STDEV('Auto Feed'!$D$2:$D$139))*'Weights &amp; Params'!$B$14</f>
        <v/>
      </c>
      <c r="N41" s="31">
        <f>((K41-AVERAGE($K$2:$K$139))/STDEV($K$2:$K$139))*'Weights &amp; Params'!$B$14</f>
        <v/>
      </c>
      <c r="O41" s="33">
        <f>'Weights &amp; Params'!$B$5*D41+'Weights &amp; Params'!$B$6*L41+'Weights &amp; Params'!$B$7*M41+'Weights &amp; Params'!$B$8*N41+'Weights &amp; Params'!$B$17*S41</f>
        <v/>
      </c>
      <c r="P41" s="54">
        <f>INDEX('Auto Feed'!$I$2:$I$139,MATCH($B41,'Auto Feed'!$A$2:$A$139,0))</f>
        <v/>
      </c>
      <c r="Q41" s="54">
        <f>INDEX('Auto Feed'!$J$2:$J$139,MATCH($B41,'Auto Feed'!$A$2:$A$139,0))</f>
        <v/>
      </c>
      <c r="R41" s="54">
        <f>((P41-AVERAGE('Auto Feed'!$I$2:$I$139))/STDEV('Auto Feed'!$I$2:$I$139))-((Q41-AVERAGE('Auto Feed'!$J$2:$J$139))/STDEV('Auto Feed'!$J$2:$J$139))</f>
        <v/>
      </c>
      <c r="S41" s="54">
        <f>((R41-AVERAGE($R$2:$R$139))/STDEV($R$2:$R$139))*'Weights &amp; Params'!$B$14</f>
        <v/>
      </c>
    </row>
    <row r="42">
      <c r="A42" s="12">
        <f>RANK(O42,$O$2:$O$139,0)</f>
        <v/>
      </c>
      <c r="B42" s="30" t="inlineStr">
        <is>
          <t>Illinois</t>
        </is>
      </c>
      <c r="C42" s="23">
        <f>INDEX('Auto Feed'!$B$2:$B$139,MATCH($B42,'Auto Feed'!$A$2:$A$139,0))</f>
        <v/>
      </c>
      <c r="D42" s="31">
        <f>INDEX('Weekly Input'!$B$2:$B$139,MATCH($B42,'Weekly Input'!$A$2:$A$139,0))</f>
        <v/>
      </c>
      <c r="E42" s="31">
        <f>INDEX('Auto Feed'!$C$2:$C$139,MATCH($B42,'Auto Feed'!$A$2:$A$139,0))</f>
        <v/>
      </c>
      <c r="F42" s="31">
        <f>INDEX('Auto Feed'!$D$2:$D$139,MATCH($B42,'Auto Feed'!$A$2:$A$139,0))</f>
        <v/>
      </c>
      <c r="G42" s="51">
        <f>INDEX('Auto Feed'!$E$2:$E$139,MATCH($B42,'Auto Feed'!$A$2:$A$139,0))</f>
        <v/>
      </c>
      <c r="H42" s="51">
        <f>INDEX('Auto Feed'!$F$2:$F$139,MATCH($B42,'Auto Feed'!$A$2:$A$139,0))</f>
        <v/>
      </c>
      <c r="I42" s="51">
        <f>INDEX('Auto Feed'!$G$2:$G$139,MATCH($B42,'Auto Feed'!$A$2:$A$139,0))</f>
        <v/>
      </c>
      <c r="J42" s="51">
        <f>INDEX('Auto Feed'!$H$2:$H$139,MATCH($B42,'Auto Feed'!$A$2:$A$139,0))</f>
        <v/>
      </c>
      <c r="K42" s="32">
        <f>((G42-AVERAGE('Auto Feed'!$E$2:$E$139))/STDEV('Auto Feed'!$E$2:$E$139))+((H42-AVERAGE('Auto Feed'!$F$2:$F$139))/STDEV('Auto Feed'!$F$2:$F$139))+((I42-AVERAGE('Auto Feed'!$G$2:$G$139))/STDEV('Auto Feed'!$G$2:$G$139))-((J42-AVERAGE('Auto Feed'!$H$2:$H$139))/STDEV('Auto Feed'!$H$2:$H$139))</f>
        <v/>
      </c>
      <c r="L42" s="31">
        <f>((E42-AVERAGE('Auto Feed'!$C$2:$C$139))/STDEV('Auto Feed'!$C$2:$C$139))*'Weights &amp; Params'!$B$14</f>
        <v/>
      </c>
      <c r="M42" s="31">
        <f>((F42-AVERAGE('Auto Feed'!$D$2:$D$139))/STDEV('Auto Feed'!$D$2:$D$139))*'Weights &amp; Params'!$B$14</f>
        <v/>
      </c>
      <c r="N42" s="31">
        <f>((K42-AVERAGE($K$2:$K$139))/STDEV($K$2:$K$139))*'Weights &amp; Params'!$B$14</f>
        <v/>
      </c>
      <c r="O42" s="33">
        <f>'Weights &amp; Params'!$B$5*D42+'Weights &amp; Params'!$B$6*L42+'Weights &amp; Params'!$B$7*M42+'Weights &amp; Params'!$B$8*N42+'Weights &amp; Params'!$B$17*S42</f>
        <v/>
      </c>
      <c r="P42" s="54">
        <f>INDEX('Auto Feed'!$I$2:$I$139,MATCH($B42,'Auto Feed'!$A$2:$A$139,0))</f>
        <v/>
      </c>
      <c r="Q42" s="54">
        <f>INDEX('Auto Feed'!$J$2:$J$139,MATCH($B42,'Auto Feed'!$A$2:$A$139,0))</f>
        <v/>
      </c>
      <c r="R42" s="54">
        <f>((P42-AVERAGE('Auto Feed'!$I$2:$I$139))/STDEV('Auto Feed'!$I$2:$I$139))-((Q42-AVERAGE('Auto Feed'!$J$2:$J$139))/STDEV('Auto Feed'!$J$2:$J$139))</f>
        <v/>
      </c>
      <c r="S42" s="54">
        <f>((R42-AVERAGE($R$2:$R$139))/STDEV($R$2:$R$139))*'Weights &amp; Params'!$B$14</f>
        <v/>
      </c>
    </row>
    <row r="43">
      <c r="A43" s="12">
        <f>RANK(O43,$O$2:$O$139,0)</f>
        <v/>
      </c>
      <c r="B43" s="30" t="inlineStr">
        <is>
          <t>Indiana</t>
        </is>
      </c>
      <c r="C43" s="23">
        <f>INDEX('Auto Feed'!$B$2:$B$139,MATCH($B43,'Auto Feed'!$A$2:$A$139,0))</f>
        <v/>
      </c>
      <c r="D43" s="31">
        <f>INDEX('Weekly Input'!$B$2:$B$139,MATCH($B43,'Weekly Input'!$A$2:$A$139,0))</f>
        <v/>
      </c>
      <c r="E43" s="31">
        <f>INDEX('Auto Feed'!$C$2:$C$139,MATCH($B43,'Auto Feed'!$A$2:$A$139,0))</f>
        <v/>
      </c>
      <c r="F43" s="31">
        <f>INDEX('Auto Feed'!$D$2:$D$139,MATCH($B43,'Auto Feed'!$A$2:$A$139,0))</f>
        <v/>
      </c>
      <c r="G43" s="51">
        <f>INDEX('Auto Feed'!$E$2:$E$139,MATCH($B43,'Auto Feed'!$A$2:$A$139,0))</f>
        <v/>
      </c>
      <c r="H43" s="51">
        <f>INDEX('Auto Feed'!$F$2:$F$139,MATCH($B43,'Auto Feed'!$A$2:$A$139,0))</f>
        <v/>
      </c>
      <c r="I43" s="51">
        <f>INDEX('Auto Feed'!$G$2:$G$139,MATCH($B43,'Auto Feed'!$A$2:$A$139,0))</f>
        <v/>
      </c>
      <c r="J43" s="51">
        <f>INDEX('Auto Feed'!$H$2:$H$139,MATCH($B43,'Auto Feed'!$A$2:$A$139,0))</f>
        <v/>
      </c>
      <c r="K43" s="32">
        <f>((G43-AVERAGE('Auto Feed'!$E$2:$E$139))/STDEV('Auto Feed'!$E$2:$E$139))+((H43-AVERAGE('Auto Feed'!$F$2:$F$139))/STDEV('Auto Feed'!$F$2:$F$139))+((I43-AVERAGE('Auto Feed'!$G$2:$G$139))/STDEV('Auto Feed'!$G$2:$G$139))-((J43-AVERAGE('Auto Feed'!$H$2:$H$139))/STDEV('Auto Feed'!$H$2:$H$139))</f>
        <v/>
      </c>
      <c r="L43" s="31">
        <f>((E43-AVERAGE('Auto Feed'!$C$2:$C$139))/STDEV('Auto Feed'!$C$2:$C$139))*'Weights &amp; Params'!$B$14</f>
        <v/>
      </c>
      <c r="M43" s="31">
        <f>((F43-AVERAGE('Auto Feed'!$D$2:$D$139))/STDEV('Auto Feed'!$D$2:$D$139))*'Weights &amp; Params'!$B$14</f>
        <v/>
      </c>
      <c r="N43" s="31">
        <f>((K43-AVERAGE($K$2:$K$139))/STDEV($K$2:$K$139))*'Weights &amp; Params'!$B$14</f>
        <v/>
      </c>
      <c r="O43" s="33">
        <f>'Weights &amp; Params'!$B$5*D43+'Weights &amp; Params'!$B$6*L43+'Weights &amp; Params'!$B$7*M43+'Weights &amp; Params'!$B$8*N43+'Weights &amp; Params'!$B$17*S43</f>
        <v/>
      </c>
      <c r="P43" s="54">
        <f>INDEX('Auto Feed'!$I$2:$I$139,MATCH($B43,'Auto Feed'!$A$2:$A$139,0))</f>
        <v/>
      </c>
      <c r="Q43" s="54">
        <f>INDEX('Auto Feed'!$J$2:$J$139,MATCH($B43,'Auto Feed'!$A$2:$A$139,0))</f>
        <v/>
      </c>
      <c r="R43" s="54">
        <f>((P43-AVERAGE('Auto Feed'!$I$2:$I$139))/STDEV('Auto Feed'!$I$2:$I$139))-((Q43-AVERAGE('Auto Feed'!$J$2:$J$139))/STDEV('Auto Feed'!$J$2:$J$139))</f>
        <v/>
      </c>
      <c r="S43" s="54">
        <f>((R43-AVERAGE($R$2:$R$139))/STDEV($R$2:$R$139))*'Weights &amp; Params'!$B$14</f>
        <v/>
      </c>
    </row>
    <row r="44">
      <c r="A44" s="12">
        <f>RANK(O44,$O$2:$O$139,0)</f>
        <v/>
      </c>
      <c r="B44" s="30" t="inlineStr">
        <is>
          <t>Iowa</t>
        </is>
      </c>
      <c r="C44" s="23">
        <f>INDEX('Auto Feed'!$B$2:$B$139,MATCH($B44,'Auto Feed'!$A$2:$A$139,0))</f>
        <v/>
      </c>
      <c r="D44" s="31">
        <f>INDEX('Weekly Input'!$B$2:$B$139,MATCH($B44,'Weekly Input'!$A$2:$A$139,0))</f>
        <v/>
      </c>
      <c r="E44" s="31">
        <f>INDEX('Auto Feed'!$C$2:$C$139,MATCH($B44,'Auto Feed'!$A$2:$A$139,0))</f>
        <v/>
      </c>
      <c r="F44" s="31">
        <f>INDEX('Auto Feed'!$D$2:$D$139,MATCH($B44,'Auto Feed'!$A$2:$A$139,0))</f>
        <v/>
      </c>
      <c r="G44" s="51">
        <f>INDEX('Auto Feed'!$E$2:$E$139,MATCH($B44,'Auto Feed'!$A$2:$A$139,0))</f>
        <v/>
      </c>
      <c r="H44" s="51">
        <f>INDEX('Auto Feed'!$F$2:$F$139,MATCH($B44,'Auto Feed'!$A$2:$A$139,0))</f>
        <v/>
      </c>
      <c r="I44" s="51">
        <f>INDEX('Auto Feed'!$G$2:$G$139,MATCH($B44,'Auto Feed'!$A$2:$A$139,0))</f>
        <v/>
      </c>
      <c r="J44" s="51">
        <f>INDEX('Auto Feed'!$H$2:$H$139,MATCH($B44,'Auto Feed'!$A$2:$A$139,0))</f>
        <v/>
      </c>
      <c r="K44" s="32">
        <f>((G44-AVERAGE('Auto Feed'!$E$2:$E$139))/STDEV('Auto Feed'!$E$2:$E$139))+((H44-AVERAGE('Auto Feed'!$F$2:$F$139))/STDEV('Auto Feed'!$F$2:$F$139))+((I44-AVERAGE('Auto Feed'!$G$2:$G$139))/STDEV('Auto Feed'!$G$2:$G$139))-((J44-AVERAGE('Auto Feed'!$H$2:$H$139))/STDEV('Auto Feed'!$H$2:$H$139))</f>
        <v/>
      </c>
      <c r="L44" s="31">
        <f>((E44-AVERAGE('Auto Feed'!$C$2:$C$139))/STDEV('Auto Feed'!$C$2:$C$139))*'Weights &amp; Params'!$B$14</f>
        <v/>
      </c>
      <c r="M44" s="31">
        <f>((F44-AVERAGE('Auto Feed'!$D$2:$D$139))/STDEV('Auto Feed'!$D$2:$D$139))*'Weights &amp; Params'!$B$14</f>
        <v/>
      </c>
      <c r="N44" s="31">
        <f>((K44-AVERAGE($K$2:$K$139))/STDEV($K$2:$K$139))*'Weights &amp; Params'!$B$14</f>
        <v/>
      </c>
      <c r="O44" s="33">
        <f>'Weights &amp; Params'!$B$5*D44+'Weights &amp; Params'!$B$6*L44+'Weights &amp; Params'!$B$7*M44+'Weights &amp; Params'!$B$8*N44+'Weights &amp; Params'!$B$17*S44</f>
        <v/>
      </c>
      <c r="P44" s="54">
        <f>INDEX('Auto Feed'!$I$2:$I$139,MATCH($B44,'Auto Feed'!$A$2:$A$139,0))</f>
        <v/>
      </c>
      <c r="Q44" s="54">
        <f>INDEX('Auto Feed'!$J$2:$J$139,MATCH($B44,'Auto Feed'!$A$2:$A$139,0))</f>
        <v/>
      </c>
      <c r="R44" s="54">
        <f>((P44-AVERAGE('Auto Feed'!$I$2:$I$139))/STDEV('Auto Feed'!$I$2:$I$139))-((Q44-AVERAGE('Auto Feed'!$J$2:$J$139))/STDEV('Auto Feed'!$J$2:$J$139))</f>
        <v/>
      </c>
      <c r="S44" s="54">
        <f>((R44-AVERAGE($R$2:$R$139))/STDEV($R$2:$R$139))*'Weights &amp; Params'!$B$14</f>
        <v/>
      </c>
    </row>
    <row r="45">
      <c r="A45" s="12">
        <f>RANK(O45,$O$2:$O$139,0)</f>
        <v/>
      </c>
      <c r="B45" s="30" t="inlineStr">
        <is>
          <t>Iowa State</t>
        </is>
      </c>
      <c r="C45" s="23">
        <f>INDEX('Auto Feed'!$B$2:$B$139,MATCH($B45,'Auto Feed'!$A$2:$A$139,0))</f>
        <v/>
      </c>
      <c r="D45" s="31">
        <f>INDEX('Weekly Input'!$B$2:$B$139,MATCH($B45,'Weekly Input'!$A$2:$A$139,0))</f>
        <v/>
      </c>
      <c r="E45" s="31">
        <f>INDEX('Auto Feed'!$C$2:$C$139,MATCH($B45,'Auto Feed'!$A$2:$A$139,0))</f>
        <v/>
      </c>
      <c r="F45" s="31">
        <f>INDEX('Auto Feed'!$D$2:$D$139,MATCH($B45,'Auto Feed'!$A$2:$A$139,0))</f>
        <v/>
      </c>
      <c r="G45" s="51">
        <f>INDEX('Auto Feed'!$E$2:$E$139,MATCH($B45,'Auto Feed'!$A$2:$A$139,0))</f>
        <v/>
      </c>
      <c r="H45" s="51">
        <f>INDEX('Auto Feed'!$F$2:$F$139,MATCH($B45,'Auto Feed'!$A$2:$A$139,0))</f>
        <v/>
      </c>
      <c r="I45" s="51">
        <f>INDEX('Auto Feed'!$G$2:$G$139,MATCH($B45,'Auto Feed'!$A$2:$A$139,0))</f>
        <v/>
      </c>
      <c r="J45" s="51">
        <f>INDEX('Auto Feed'!$H$2:$H$139,MATCH($B45,'Auto Feed'!$A$2:$A$139,0))</f>
        <v/>
      </c>
      <c r="K45" s="32">
        <f>((G45-AVERAGE('Auto Feed'!$E$2:$E$139))/STDEV('Auto Feed'!$E$2:$E$139))+((H45-AVERAGE('Auto Feed'!$F$2:$F$139))/STDEV('Auto Feed'!$F$2:$F$139))+((I45-AVERAGE('Auto Feed'!$G$2:$G$139))/STDEV('Auto Feed'!$G$2:$G$139))-((J45-AVERAGE('Auto Feed'!$H$2:$H$139))/STDEV('Auto Feed'!$H$2:$H$139))</f>
        <v/>
      </c>
      <c r="L45" s="31">
        <f>((E45-AVERAGE('Auto Feed'!$C$2:$C$139))/STDEV('Auto Feed'!$C$2:$C$139))*'Weights &amp; Params'!$B$14</f>
        <v/>
      </c>
      <c r="M45" s="31">
        <f>((F45-AVERAGE('Auto Feed'!$D$2:$D$139))/STDEV('Auto Feed'!$D$2:$D$139))*'Weights &amp; Params'!$B$14</f>
        <v/>
      </c>
      <c r="N45" s="31">
        <f>((K45-AVERAGE($K$2:$K$139))/STDEV($K$2:$K$139))*'Weights &amp; Params'!$B$14</f>
        <v/>
      </c>
      <c r="O45" s="33">
        <f>'Weights &amp; Params'!$B$5*D45+'Weights &amp; Params'!$B$6*L45+'Weights &amp; Params'!$B$7*M45+'Weights &amp; Params'!$B$8*N45+'Weights &amp; Params'!$B$17*S45</f>
        <v/>
      </c>
      <c r="P45" s="54">
        <f>INDEX('Auto Feed'!$I$2:$I$139,MATCH($B45,'Auto Feed'!$A$2:$A$139,0))</f>
        <v/>
      </c>
      <c r="Q45" s="54">
        <f>INDEX('Auto Feed'!$J$2:$J$139,MATCH($B45,'Auto Feed'!$A$2:$A$139,0))</f>
        <v/>
      </c>
      <c r="R45" s="54">
        <f>((P45-AVERAGE('Auto Feed'!$I$2:$I$139))/STDEV('Auto Feed'!$I$2:$I$139))-((Q45-AVERAGE('Auto Feed'!$J$2:$J$139))/STDEV('Auto Feed'!$J$2:$J$139))</f>
        <v/>
      </c>
      <c r="S45" s="54">
        <f>((R45-AVERAGE($R$2:$R$139))/STDEV($R$2:$R$139))*'Weights &amp; Params'!$B$14</f>
        <v/>
      </c>
    </row>
    <row r="46">
      <c r="A46" s="12">
        <f>RANK(O46,$O$2:$O$139,0)</f>
        <v/>
      </c>
      <c r="B46" s="30" t="inlineStr">
        <is>
          <t>Jacksonville State</t>
        </is>
      </c>
      <c r="C46" s="23">
        <f>INDEX('Auto Feed'!$B$2:$B$139,MATCH($B46,'Auto Feed'!$A$2:$A$139,0))</f>
        <v/>
      </c>
      <c r="D46" s="31">
        <f>INDEX('Weekly Input'!$B$2:$B$139,MATCH($B46,'Weekly Input'!$A$2:$A$139,0))</f>
        <v/>
      </c>
      <c r="E46" s="31">
        <f>INDEX('Auto Feed'!$C$2:$C$139,MATCH($B46,'Auto Feed'!$A$2:$A$139,0))</f>
        <v/>
      </c>
      <c r="F46" s="31">
        <f>INDEX('Auto Feed'!$D$2:$D$139,MATCH($B46,'Auto Feed'!$A$2:$A$139,0))</f>
        <v/>
      </c>
      <c r="G46" s="51">
        <f>INDEX('Auto Feed'!$E$2:$E$139,MATCH($B46,'Auto Feed'!$A$2:$A$139,0))</f>
        <v/>
      </c>
      <c r="H46" s="51">
        <f>INDEX('Auto Feed'!$F$2:$F$139,MATCH($B46,'Auto Feed'!$A$2:$A$139,0))</f>
        <v/>
      </c>
      <c r="I46" s="51">
        <f>INDEX('Auto Feed'!$G$2:$G$139,MATCH($B46,'Auto Feed'!$A$2:$A$139,0))</f>
        <v/>
      </c>
      <c r="J46" s="51">
        <f>INDEX('Auto Feed'!$H$2:$H$139,MATCH($B46,'Auto Feed'!$A$2:$A$139,0))</f>
        <v/>
      </c>
      <c r="K46" s="32">
        <f>((G46-AVERAGE('Auto Feed'!$E$2:$E$139))/STDEV('Auto Feed'!$E$2:$E$139))+((H46-AVERAGE('Auto Feed'!$F$2:$F$139))/STDEV('Auto Feed'!$F$2:$F$139))+((I46-AVERAGE('Auto Feed'!$G$2:$G$139))/STDEV('Auto Feed'!$G$2:$G$139))-((J46-AVERAGE('Auto Feed'!$H$2:$H$139))/STDEV('Auto Feed'!$H$2:$H$139))</f>
        <v/>
      </c>
      <c r="L46" s="31">
        <f>((E46-AVERAGE('Auto Feed'!$C$2:$C$139))/STDEV('Auto Feed'!$C$2:$C$139))*'Weights &amp; Params'!$B$14</f>
        <v/>
      </c>
      <c r="M46" s="31">
        <f>((F46-AVERAGE('Auto Feed'!$D$2:$D$139))/STDEV('Auto Feed'!$D$2:$D$139))*'Weights &amp; Params'!$B$14</f>
        <v/>
      </c>
      <c r="N46" s="31">
        <f>((K46-AVERAGE($K$2:$K$139))/STDEV($K$2:$K$139))*'Weights &amp; Params'!$B$14</f>
        <v/>
      </c>
      <c r="O46" s="33">
        <f>'Weights &amp; Params'!$B$5*D46+'Weights &amp; Params'!$B$6*L46+'Weights &amp; Params'!$B$7*M46+'Weights &amp; Params'!$B$8*N46+'Weights &amp; Params'!$B$17*S46</f>
        <v/>
      </c>
      <c r="P46" s="54">
        <f>INDEX('Auto Feed'!$I$2:$I$139,MATCH($B46,'Auto Feed'!$A$2:$A$139,0))</f>
        <v/>
      </c>
      <c r="Q46" s="54">
        <f>INDEX('Auto Feed'!$J$2:$J$139,MATCH($B46,'Auto Feed'!$A$2:$A$139,0))</f>
        <v/>
      </c>
      <c r="R46" s="54">
        <f>((P46-AVERAGE('Auto Feed'!$I$2:$I$139))/STDEV('Auto Feed'!$I$2:$I$139))-((Q46-AVERAGE('Auto Feed'!$J$2:$J$139))/STDEV('Auto Feed'!$J$2:$J$139))</f>
        <v/>
      </c>
      <c r="S46" s="54">
        <f>((R46-AVERAGE($R$2:$R$139))/STDEV($R$2:$R$139))*'Weights &amp; Params'!$B$14</f>
        <v/>
      </c>
    </row>
    <row r="47">
      <c r="A47" s="12">
        <f>RANK(O47,$O$2:$O$139,0)</f>
        <v/>
      </c>
      <c r="B47" s="30" t="inlineStr">
        <is>
          <t>James Madison</t>
        </is>
      </c>
      <c r="C47" s="23">
        <f>INDEX('Auto Feed'!$B$2:$B$139,MATCH($B47,'Auto Feed'!$A$2:$A$139,0))</f>
        <v/>
      </c>
      <c r="D47" s="31">
        <f>INDEX('Weekly Input'!$B$2:$B$139,MATCH($B47,'Weekly Input'!$A$2:$A$139,0))</f>
        <v/>
      </c>
      <c r="E47" s="31">
        <f>INDEX('Auto Feed'!$C$2:$C$139,MATCH($B47,'Auto Feed'!$A$2:$A$139,0))</f>
        <v/>
      </c>
      <c r="F47" s="31">
        <f>INDEX('Auto Feed'!$D$2:$D$139,MATCH($B47,'Auto Feed'!$A$2:$A$139,0))</f>
        <v/>
      </c>
      <c r="G47" s="51">
        <f>INDEX('Auto Feed'!$E$2:$E$139,MATCH($B47,'Auto Feed'!$A$2:$A$139,0))</f>
        <v/>
      </c>
      <c r="H47" s="51">
        <f>INDEX('Auto Feed'!$F$2:$F$139,MATCH($B47,'Auto Feed'!$A$2:$A$139,0))</f>
        <v/>
      </c>
      <c r="I47" s="51">
        <f>INDEX('Auto Feed'!$G$2:$G$139,MATCH($B47,'Auto Feed'!$A$2:$A$139,0))</f>
        <v/>
      </c>
      <c r="J47" s="51">
        <f>INDEX('Auto Feed'!$H$2:$H$139,MATCH($B47,'Auto Feed'!$A$2:$A$139,0))</f>
        <v/>
      </c>
      <c r="K47" s="32">
        <f>((G47-AVERAGE('Auto Feed'!$E$2:$E$139))/STDEV('Auto Feed'!$E$2:$E$139))+((H47-AVERAGE('Auto Feed'!$F$2:$F$139))/STDEV('Auto Feed'!$F$2:$F$139))+((I47-AVERAGE('Auto Feed'!$G$2:$G$139))/STDEV('Auto Feed'!$G$2:$G$139))-((J47-AVERAGE('Auto Feed'!$H$2:$H$139))/STDEV('Auto Feed'!$H$2:$H$139))</f>
        <v/>
      </c>
      <c r="L47" s="31">
        <f>((E47-AVERAGE('Auto Feed'!$C$2:$C$139))/STDEV('Auto Feed'!$C$2:$C$139))*'Weights &amp; Params'!$B$14</f>
        <v/>
      </c>
      <c r="M47" s="31">
        <f>((F47-AVERAGE('Auto Feed'!$D$2:$D$139))/STDEV('Auto Feed'!$D$2:$D$139))*'Weights &amp; Params'!$B$14</f>
        <v/>
      </c>
      <c r="N47" s="31">
        <f>((K47-AVERAGE($K$2:$K$139))/STDEV($K$2:$K$139))*'Weights &amp; Params'!$B$14</f>
        <v/>
      </c>
      <c r="O47" s="33">
        <f>'Weights &amp; Params'!$B$5*D47+'Weights &amp; Params'!$B$6*L47+'Weights &amp; Params'!$B$7*M47+'Weights &amp; Params'!$B$8*N47+'Weights &amp; Params'!$B$17*S47</f>
        <v/>
      </c>
      <c r="P47" s="54">
        <f>INDEX('Auto Feed'!$I$2:$I$139,MATCH($B47,'Auto Feed'!$A$2:$A$139,0))</f>
        <v/>
      </c>
      <c r="Q47" s="54">
        <f>INDEX('Auto Feed'!$J$2:$J$139,MATCH($B47,'Auto Feed'!$A$2:$A$139,0))</f>
        <v/>
      </c>
      <c r="R47" s="54">
        <f>((P47-AVERAGE('Auto Feed'!$I$2:$I$139))/STDEV('Auto Feed'!$I$2:$I$139))-((Q47-AVERAGE('Auto Feed'!$J$2:$J$139))/STDEV('Auto Feed'!$J$2:$J$139))</f>
        <v/>
      </c>
      <c r="S47" s="54">
        <f>((R47-AVERAGE($R$2:$R$139))/STDEV($R$2:$R$139))*'Weights &amp; Params'!$B$14</f>
        <v/>
      </c>
    </row>
    <row r="48">
      <c r="A48" s="12">
        <f>RANK(O48,$O$2:$O$139,0)</f>
        <v/>
      </c>
      <c r="B48" s="30" t="inlineStr">
        <is>
          <t>Kansas</t>
        </is>
      </c>
      <c r="C48" s="23">
        <f>INDEX('Auto Feed'!$B$2:$B$139,MATCH($B48,'Auto Feed'!$A$2:$A$139,0))</f>
        <v/>
      </c>
      <c r="D48" s="31">
        <f>INDEX('Weekly Input'!$B$2:$B$139,MATCH($B48,'Weekly Input'!$A$2:$A$139,0))</f>
        <v/>
      </c>
      <c r="E48" s="31">
        <f>INDEX('Auto Feed'!$C$2:$C$139,MATCH($B48,'Auto Feed'!$A$2:$A$139,0))</f>
        <v/>
      </c>
      <c r="F48" s="31">
        <f>INDEX('Auto Feed'!$D$2:$D$139,MATCH($B48,'Auto Feed'!$A$2:$A$139,0))</f>
        <v/>
      </c>
      <c r="G48" s="51">
        <f>INDEX('Auto Feed'!$E$2:$E$139,MATCH($B48,'Auto Feed'!$A$2:$A$139,0))</f>
        <v/>
      </c>
      <c r="H48" s="51">
        <f>INDEX('Auto Feed'!$F$2:$F$139,MATCH($B48,'Auto Feed'!$A$2:$A$139,0))</f>
        <v/>
      </c>
      <c r="I48" s="51">
        <f>INDEX('Auto Feed'!$G$2:$G$139,MATCH($B48,'Auto Feed'!$A$2:$A$139,0))</f>
        <v/>
      </c>
      <c r="J48" s="51">
        <f>INDEX('Auto Feed'!$H$2:$H$139,MATCH($B48,'Auto Feed'!$A$2:$A$139,0))</f>
        <v/>
      </c>
      <c r="K48" s="32">
        <f>((G48-AVERAGE('Auto Feed'!$E$2:$E$139))/STDEV('Auto Feed'!$E$2:$E$139))+((H48-AVERAGE('Auto Feed'!$F$2:$F$139))/STDEV('Auto Feed'!$F$2:$F$139))+((I48-AVERAGE('Auto Feed'!$G$2:$G$139))/STDEV('Auto Feed'!$G$2:$G$139))-((J48-AVERAGE('Auto Feed'!$H$2:$H$139))/STDEV('Auto Feed'!$H$2:$H$139))</f>
        <v/>
      </c>
      <c r="L48" s="31">
        <f>((E48-AVERAGE('Auto Feed'!$C$2:$C$139))/STDEV('Auto Feed'!$C$2:$C$139))*'Weights &amp; Params'!$B$14</f>
        <v/>
      </c>
      <c r="M48" s="31">
        <f>((F48-AVERAGE('Auto Feed'!$D$2:$D$139))/STDEV('Auto Feed'!$D$2:$D$139))*'Weights &amp; Params'!$B$14</f>
        <v/>
      </c>
      <c r="N48" s="31">
        <f>((K48-AVERAGE($K$2:$K$139))/STDEV($K$2:$K$139))*'Weights &amp; Params'!$B$14</f>
        <v/>
      </c>
      <c r="O48" s="33">
        <f>'Weights &amp; Params'!$B$5*D48+'Weights &amp; Params'!$B$6*L48+'Weights &amp; Params'!$B$7*M48+'Weights &amp; Params'!$B$8*N48+'Weights &amp; Params'!$B$17*S48</f>
        <v/>
      </c>
      <c r="P48" s="54">
        <f>INDEX('Auto Feed'!$I$2:$I$139,MATCH($B48,'Auto Feed'!$A$2:$A$139,0))</f>
        <v/>
      </c>
      <c r="Q48" s="54">
        <f>INDEX('Auto Feed'!$J$2:$J$139,MATCH($B48,'Auto Feed'!$A$2:$A$139,0))</f>
        <v/>
      </c>
      <c r="R48" s="54">
        <f>((P48-AVERAGE('Auto Feed'!$I$2:$I$139))/STDEV('Auto Feed'!$I$2:$I$139))-((Q48-AVERAGE('Auto Feed'!$J$2:$J$139))/STDEV('Auto Feed'!$J$2:$J$139))</f>
        <v/>
      </c>
      <c r="S48" s="54">
        <f>((R48-AVERAGE($R$2:$R$139))/STDEV($R$2:$R$139))*'Weights &amp; Params'!$B$14</f>
        <v/>
      </c>
    </row>
    <row r="49">
      <c r="A49" s="12">
        <f>RANK(O49,$O$2:$O$139,0)</f>
        <v/>
      </c>
      <c r="B49" s="30" t="inlineStr">
        <is>
          <t>Kansas State</t>
        </is>
      </c>
      <c r="C49" s="23">
        <f>INDEX('Auto Feed'!$B$2:$B$139,MATCH($B49,'Auto Feed'!$A$2:$A$139,0))</f>
        <v/>
      </c>
      <c r="D49" s="31">
        <f>INDEX('Weekly Input'!$B$2:$B$139,MATCH($B49,'Weekly Input'!$A$2:$A$139,0))</f>
        <v/>
      </c>
      <c r="E49" s="31">
        <f>INDEX('Auto Feed'!$C$2:$C$139,MATCH($B49,'Auto Feed'!$A$2:$A$139,0))</f>
        <v/>
      </c>
      <c r="F49" s="31">
        <f>INDEX('Auto Feed'!$D$2:$D$139,MATCH($B49,'Auto Feed'!$A$2:$A$139,0))</f>
        <v/>
      </c>
      <c r="G49" s="51">
        <f>INDEX('Auto Feed'!$E$2:$E$139,MATCH($B49,'Auto Feed'!$A$2:$A$139,0))</f>
        <v/>
      </c>
      <c r="H49" s="51">
        <f>INDEX('Auto Feed'!$F$2:$F$139,MATCH($B49,'Auto Feed'!$A$2:$A$139,0))</f>
        <v/>
      </c>
      <c r="I49" s="51">
        <f>INDEX('Auto Feed'!$G$2:$G$139,MATCH($B49,'Auto Feed'!$A$2:$A$139,0))</f>
        <v/>
      </c>
      <c r="J49" s="51">
        <f>INDEX('Auto Feed'!$H$2:$H$139,MATCH($B49,'Auto Feed'!$A$2:$A$139,0))</f>
        <v/>
      </c>
      <c r="K49" s="32">
        <f>((G49-AVERAGE('Auto Feed'!$E$2:$E$139))/STDEV('Auto Feed'!$E$2:$E$139))+((H49-AVERAGE('Auto Feed'!$F$2:$F$139))/STDEV('Auto Feed'!$F$2:$F$139))+((I49-AVERAGE('Auto Feed'!$G$2:$G$139))/STDEV('Auto Feed'!$G$2:$G$139))-((J49-AVERAGE('Auto Feed'!$H$2:$H$139))/STDEV('Auto Feed'!$H$2:$H$139))</f>
        <v/>
      </c>
      <c r="L49" s="31">
        <f>((E49-AVERAGE('Auto Feed'!$C$2:$C$139))/STDEV('Auto Feed'!$C$2:$C$139))*'Weights &amp; Params'!$B$14</f>
        <v/>
      </c>
      <c r="M49" s="31">
        <f>((F49-AVERAGE('Auto Feed'!$D$2:$D$139))/STDEV('Auto Feed'!$D$2:$D$139))*'Weights &amp; Params'!$B$14</f>
        <v/>
      </c>
      <c r="N49" s="31">
        <f>((K49-AVERAGE($K$2:$K$139))/STDEV($K$2:$K$139))*'Weights &amp; Params'!$B$14</f>
        <v/>
      </c>
      <c r="O49" s="33">
        <f>'Weights &amp; Params'!$B$5*D49+'Weights &amp; Params'!$B$6*L49+'Weights &amp; Params'!$B$7*M49+'Weights &amp; Params'!$B$8*N49+'Weights &amp; Params'!$B$17*S49</f>
        <v/>
      </c>
      <c r="P49" s="54">
        <f>INDEX('Auto Feed'!$I$2:$I$139,MATCH($B49,'Auto Feed'!$A$2:$A$139,0))</f>
        <v/>
      </c>
      <c r="Q49" s="54">
        <f>INDEX('Auto Feed'!$J$2:$J$139,MATCH($B49,'Auto Feed'!$A$2:$A$139,0))</f>
        <v/>
      </c>
      <c r="R49" s="54">
        <f>((P49-AVERAGE('Auto Feed'!$I$2:$I$139))/STDEV('Auto Feed'!$I$2:$I$139))-((Q49-AVERAGE('Auto Feed'!$J$2:$J$139))/STDEV('Auto Feed'!$J$2:$J$139))</f>
        <v/>
      </c>
      <c r="S49" s="54">
        <f>((R49-AVERAGE($R$2:$R$139))/STDEV($R$2:$R$139))*'Weights &amp; Params'!$B$14</f>
        <v/>
      </c>
    </row>
    <row r="50">
      <c r="A50" s="12">
        <f>RANK(O50,$O$2:$O$139,0)</f>
        <v/>
      </c>
      <c r="B50" s="30" t="inlineStr">
        <is>
          <t>Kennesaw State</t>
        </is>
      </c>
      <c r="C50" s="23">
        <f>INDEX('Auto Feed'!$B$2:$B$139,MATCH($B50,'Auto Feed'!$A$2:$A$139,0))</f>
        <v/>
      </c>
      <c r="D50" s="31">
        <f>INDEX('Weekly Input'!$B$2:$B$139,MATCH($B50,'Weekly Input'!$A$2:$A$139,0))</f>
        <v/>
      </c>
      <c r="E50" s="31">
        <f>INDEX('Auto Feed'!$C$2:$C$139,MATCH($B50,'Auto Feed'!$A$2:$A$139,0))</f>
        <v/>
      </c>
      <c r="F50" s="31">
        <f>INDEX('Auto Feed'!$D$2:$D$139,MATCH($B50,'Auto Feed'!$A$2:$A$139,0))</f>
        <v/>
      </c>
      <c r="G50" s="51">
        <f>INDEX('Auto Feed'!$E$2:$E$139,MATCH($B50,'Auto Feed'!$A$2:$A$139,0))</f>
        <v/>
      </c>
      <c r="H50" s="51">
        <f>INDEX('Auto Feed'!$F$2:$F$139,MATCH($B50,'Auto Feed'!$A$2:$A$139,0))</f>
        <v/>
      </c>
      <c r="I50" s="51">
        <f>INDEX('Auto Feed'!$G$2:$G$139,MATCH($B50,'Auto Feed'!$A$2:$A$139,0))</f>
        <v/>
      </c>
      <c r="J50" s="51">
        <f>INDEX('Auto Feed'!$H$2:$H$139,MATCH($B50,'Auto Feed'!$A$2:$A$139,0))</f>
        <v/>
      </c>
      <c r="K50" s="32">
        <f>((G50-AVERAGE('Auto Feed'!$E$2:$E$139))/STDEV('Auto Feed'!$E$2:$E$139))+((H50-AVERAGE('Auto Feed'!$F$2:$F$139))/STDEV('Auto Feed'!$F$2:$F$139))+((I50-AVERAGE('Auto Feed'!$G$2:$G$139))/STDEV('Auto Feed'!$G$2:$G$139))-((J50-AVERAGE('Auto Feed'!$H$2:$H$139))/STDEV('Auto Feed'!$H$2:$H$139))</f>
        <v/>
      </c>
      <c r="L50" s="31">
        <f>((E50-AVERAGE('Auto Feed'!$C$2:$C$139))/STDEV('Auto Feed'!$C$2:$C$139))*'Weights &amp; Params'!$B$14</f>
        <v/>
      </c>
      <c r="M50" s="31">
        <f>((F50-AVERAGE('Auto Feed'!$D$2:$D$139))/STDEV('Auto Feed'!$D$2:$D$139))*'Weights &amp; Params'!$B$14</f>
        <v/>
      </c>
      <c r="N50" s="31">
        <f>((K50-AVERAGE($K$2:$K$139))/STDEV($K$2:$K$139))*'Weights &amp; Params'!$B$14</f>
        <v/>
      </c>
      <c r="O50" s="33">
        <f>'Weights &amp; Params'!$B$5*D50+'Weights &amp; Params'!$B$6*L50+'Weights &amp; Params'!$B$7*M50+'Weights &amp; Params'!$B$8*N50+'Weights &amp; Params'!$B$17*S50</f>
        <v/>
      </c>
      <c r="P50" s="54">
        <f>INDEX('Auto Feed'!$I$2:$I$139,MATCH($B50,'Auto Feed'!$A$2:$A$139,0))</f>
        <v/>
      </c>
      <c r="Q50" s="54">
        <f>INDEX('Auto Feed'!$J$2:$J$139,MATCH($B50,'Auto Feed'!$A$2:$A$139,0))</f>
        <v/>
      </c>
      <c r="R50" s="54">
        <f>((P50-AVERAGE('Auto Feed'!$I$2:$I$139))/STDEV('Auto Feed'!$I$2:$I$139))-((Q50-AVERAGE('Auto Feed'!$J$2:$J$139))/STDEV('Auto Feed'!$J$2:$J$139))</f>
        <v/>
      </c>
      <c r="S50" s="54">
        <f>((R50-AVERAGE($R$2:$R$139))/STDEV($R$2:$R$139))*'Weights &amp; Params'!$B$14</f>
        <v/>
      </c>
    </row>
    <row r="51">
      <c r="A51" s="12">
        <f>RANK(O51,$O$2:$O$139,0)</f>
        <v/>
      </c>
      <c r="B51" s="30" t="inlineStr">
        <is>
          <t>Kent State</t>
        </is>
      </c>
      <c r="C51" s="23">
        <f>INDEX('Auto Feed'!$B$2:$B$139,MATCH($B51,'Auto Feed'!$A$2:$A$139,0))</f>
        <v/>
      </c>
      <c r="D51" s="31">
        <f>INDEX('Weekly Input'!$B$2:$B$139,MATCH($B51,'Weekly Input'!$A$2:$A$139,0))</f>
        <v/>
      </c>
      <c r="E51" s="31">
        <f>INDEX('Auto Feed'!$C$2:$C$139,MATCH($B51,'Auto Feed'!$A$2:$A$139,0))</f>
        <v/>
      </c>
      <c r="F51" s="31">
        <f>INDEX('Auto Feed'!$D$2:$D$139,MATCH($B51,'Auto Feed'!$A$2:$A$139,0))</f>
        <v/>
      </c>
      <c r="G51" s="51">
        <f>INDEX('Auto Feed'!$E$2:$E$139,MATCH($B51,'Auto Feed'!$A$2:$A$139,0))</f>
        <v/>
      </c>
      <c r="H51" s="51">
        <f>INDEX('Auto Feed'!$F$2:$F$139,MATCH($B51,'Auto Feed'!$A$2:$A$139,0))</f>
        <v/>
      </c>
      <c r="I51" s="51">
        <f>INDEX('Auto Feed'!$G$2:$G$139,MATCH($B51,'Auto Feed'!$A$2:$A$139,0))</f>
        <v/>
      </c>
      <c r="J51" s="51">
        <f>INDEX('Auto Feed'!$H$2:$H$139,MATCH($B51,'Auto Feed'!$A$2:$A$139,0))</f>
        <v/>
      </c>
      <c r="K51" s="32">
        <f>((G51-AVERAGE('Auto Feed'!$E$2:$E$139))/STDEV('Auto Feed'!$E$2:$E$139))+((H51-AVERAGE('Auto Feed'!$F$2:$F$139))/STDEV('Auto Feed'!$F$2:$F$139))+((I51-AVERAGE('Auto Feed'!$G$2:$G$139))/STDEV('Auto Feed'!$G$2:$G$139))-((J51-AVERAGE('Auto Feed'!$H$2:$H$139))/STDEV('Auto Feed'!$H$2:$H$139))</f>
        <v/>
      </c>
      <c r="L51" s="31">
        <f>((E51-AVERAGE('Auto Feed'!$C$2:$C$139))/STDEV('Auto Feed'!$C$2:$C$139))*'Weights &amp; Params'!$B$14</f>
        <v/>
      </c>
      <c r="M51" s="31">
        <f>((F51-AVERAGE('Auto Feed'!$D$2:$D$139))/STDEV('Auto Feed'!$D$2:$D$139))*'Weights &amp; Params'!$B$14</f>
        <v/>
      </c>
      <c r="N51" s="31">
        <f>((K51-AVERAGE($K$2:$K$139))/STDEV($K$2:$K$139))*'Weights &amp; Params'!$B$14</f>
        <v/>
      </c>
      <c r="O51" s="33">
        <f>'Weights &amp; Params'!$B$5*D51+'Weights &amp; Params'!$B$6*L51+'Weights &amp; Params'!$B$7*M51+'Weights &amp; Params'!$B$8*N51+'Weights &amp; Params'!$B$17*S51</f>
        <v/>
      </c>
      <c r="P51" s="54">
        <f>INDEX('Auto Feed'!$I$2:$I$139,MATCH($B51,'Auto Feed'!$A$2:$A$139,0))</f>
        <v/>
      </c>
      <c r="Q51" s="54">
        <f>INDEX('Auto Feed'!$J$2:$J$139,MATCH($B51,'Auto Feed'!$A$2:$A$139,0))</f>
        <v/>
      </c>
      <c r="R51" s="54">
        <f>((P51-AVERAGE('Auto Feed'!$I$2:$I$139))/STDEV('Auto Feed'!$I$2:$I$139))-((Q51-AVERAGE('Auto Feed'!$J$2:$J$139))/STDEV('Auto Feed'!$J$2:$J$139))</f>
        <v/>
      </c>
      <c r="S51" s="54">
        <f>((R51-AVERAGE($R$2:$R$139))/STDEV($R$2:$R$139))*'Weights &amp; Params'!$B$14</f>
        <v/>
      </c>
    </row>
    <row r="52">
      <c r="A52" s="12">
        <f>RANK(O52,$O$2:$O$139,0)</f>
        <v/>
      </c>
      <c r="B52" s="30" t="inlineStr">
        <is>
          <t>Kentucky</t>
        </is>
      </c>
      <c r="C52" s="23">
        <f>INDEX('Auto Feed'!$B$2:$B$139,MATCH($B52,'Auto Feed'!$A$2:$A$139,0))</f>
        <v/>
      </c>
      <c r="D52" s="31">
        <f>INDEX('Weekly Input'!$B$2:$B$139,MATCH($B52,'Weekly Input'!$A$2:$A$139,0))</f>
        <v/>
      </c>
      <c r="E52" s="31">
        <f>INDEX('Auto Feed'!$C$2:$C$139,MATCH($B52,'Auto Feed'!$A$2:$A$139,0))</f>
        <v/>
      </c>
      <c r="F52" s="31">
        <f>INDEX('Auto Feed'!$D$2:$D$139,MATCH($B52,'Auto Feed'!$A$2:$A$139,0))</f>
        <v/>
      </c>
      <c r="G52" s="51">
        <f>INDEX('Auto Feed'!$E$2:$E$139,MATCH($B52,'Auto Feed'!$A$2:$A$139,0))</f>
        <v/>
      </c>
      <c r="H52" s="51">
        <f>INDEX('Auto Feed'!$F$2:$F$139,MATCH($B52,'Auto Feed'!$A$2:$A$139,0))</f>
        <v/>
      </c>
      <c r="I52" s="51">
        <f>INDEX('Auto Feed'!$G$2:$G$139,MATCH($B52,'Auto Feed'!$A$2:$A$139,0))</f>
        <v/>
      </c>
      <c r="J52" s="51">
        <f>INDEX('Auto Feed'!$H$2:$H$139,MATCH($B52,'Auto Feed'!$A$2:$A$139,0))</f>
        <v/>
      </c>
      <c r="K52" s="32">
        <f>((G52-AVERAGE('Auto Feed'!$E$2:$E$139))/STDEV('Auto Feed'!$E$2:$E$139))+((H52-AVERAGE('Auto Feed'!$F$2:$F$139))/STDEV('Auto Feed'!$F$2:$F$139))+((I52-AVERAGE('Auto Feed'!$G$2:$G$139))/STDEV('Auto Feed'!$G$2:$G$139))-((J52-AVERAGE('Auto Feed'!$H$2:$H$139))/STDEV('Auto Feed'!$H$2:$H$139))</f>
        <v/>
      </c>
      <c r="L52" s="31">
        <f>((E52-AVERAGE('Auto Feed'!$C$2:$C$139))/STDEV('Auto Feed'!$C$2:$C$139))*'Weights &amp; Params'!$B$14</f>
        <v/>
      </c>
      <c r="M52" s="31">
        <f>((F52-AVERAGE('Auto Feed'!$D$2:$D$139))/STDEV('Auto Feed'!$D$2:$D$139))*'Weights &amp; Params'!$B$14</f>
        <v/>
      </c>
      <c r="N52" s="31">
        <f>((K52-AVERAGE($K$2:$K$139))/STDEV($K$2:$K$139))*'Weights &amp; Params'!$B$14</f>
        <v/>
      </c>
      <c r="O52" s="33">
        <f>'Weights &amp; Params'!$B$5*D52+'Weights &amp; Params'!$B$6*L52+'Weights &amp; Params'!$B$7*M52+'Weights &amp; Params'!$B$8*N52+'Weights &amp; Params'!$B$17*S52</f>
        <v/>
      </c>
      <c r="P52" s="54">
        <f>INDEX('Auto Feed'!$I$2:$I$139,MATCH($B52,'Auto Feed'!$A$2:$A$139,0))</f>
        <v/>
      </c>
      <c r="Q52" s="54">
        <f>INDEX('Auto Feed'!$J$2:$J$139,MATCH($B52,'Auto Feed'!$A$2:$A$139,0))</f>
        <v/>
      </c>
      <c r="R52" s="54">
        <f>((P52-AVERAGE('Auto Feed'!$I$2:$I$139))/STDEV('Auto Feed'!$I$2:$I$139))-((Q52-AVERAGE('Auto Feed'!$J$2:$J$139))/STDEV('Auto Feed'!$J$2:$J$139))</f>
        <v/>
      </c>
      <c r="S52" s="54">
        <f>((R52-AVERAGE($R$2:$R$139))/STDEV($R$2:$R$139))*'Weights &amp; Params'!$B$14</f>
        <v/>
      </c>
    </row>
    <row r="53">
      <c r="A53" s="12">
        <f>RANK(O53,$O$2:$O$139,0)</f>
        <v/>
      </c>
      <c r="B53" s="30" t="inlineStr">
        <is>
          <t>LSU</t>
        </is>
      </c>
      <c r="C53" s="23">
        <f>INDEX('Auto Feed'!$B$2:$B$139,MATCH($B53,'Auto Feed'!$A$2:$A$139,0))</f>
        <v/>
      </c>
      <c r="D53" s="31">
        <f>INDEX('Weekly Input'!$B$2:$B$139,MATCH($B53,'Weekly Input'!$A$2:$A$139,0))</f>
        <v/>
      </c>
      <c r="E53" s="31">
        <f>INDEX('Auto Feed'!$C$2:$C$139,MATCH($B53,'Auto Feed'!$A$2:$A$139,0))</f>
        <v/>
      </c>
      <c r="F53" s="31">
        <f>INDEX('Auto Feed'!$D$2:$D$139,MATCH($B53,'Auto Feed'!$A$2:$A$139,0))</f>
        <v/>
      </c>
      <c r="G53" s="51">
        <f>INDEX('Auto Feed'!$E$2:$E$139,MATCH($B53,'Auto Feed'!$A$2:$A$139,0))</f>
        <v/>
      </c>
      <c r="H53" s="51">
        <f>INDEX('Auto Feed'!$F$2:$F$139,MATCH($B53,'Auto Feed'!$A$2:$A$139,0))</f>
        <v/>
      </c>
      <c r="I53" s="51">
        <f>INDEX('Auto Feed'!$G$2:$G$139,MATCH($B53,'Auto Feed'!$A$2:$A$139,0))</f>
        <v/>
      </c>
      <c r="J53" s="51">
        <f>INDEX('Auto Feed'!$H$2:$H$139,MATCH($B53,'Auto Feed'!$A$2:$A$139,0))</f>
        <v/>
      </c>
      <c r="K53" s="32">
        <f>((G53-AVERAGE('Auto Feed'!$E$2:$E$139))/STDEV('Auto Feed'!$E$2:$E$139))+((H53-AVERAGE('Auto Feed'!$F$2:$F$139))/STDEV('Auto Feed'!$F$2:$F$139))+((I53-AVERAGE('Auto Feed'!$G$2:$G$139))/STDEV('Auto Feed'!$G$2:$G$139))-((J53-AVERAGE('Auto Feed'!$H$2:$H$139))/STDEV('Auto Feed'!$H$2:$H$139))</f>
        <v/>
      </c>
      <c r="L53" s="31">
        <f>((E53-AVERAGE('Auto Feed'!$C$2:$C$139))/STDEV('Auto Feed'!$C$2:$C$139))*'Weights &amp; Params'!$B$14</f>
        <v/>
      </c>
      <c r="M53" s="31">
        <f>((F53-AVERAGE('Auto Feed'!$D$2:$D$139))/STDEV('Auto Feed'!$D$2:$D$139))*'Weights &amp; Params'!$B$14</f>
        <v/>
      </c>
      <c r="N53" s="31">
        <f>((K53-AVERAGE($K$2:$K$139))/STDEV($K$2:$K$139))*'Weights &amp; Params'!$B$14</f>
        <v/>
      </c>
      <c r="O53" s="33">
        <f>'Weights &amp; Params'!$B$5*D53+'Weights &amp; Params'!$B$6*L53+'Weights &amp; Params'!$B$7*M53+'Weights &amp; Params'!$B$8*N53+'Weights &amp; Params'!$B$17*S53</f>
        <v/>
      </c>
      <c r="P53" s="54">
        <f>INDEX('Auto Feed'!$I$2:$I$139,MATCH($B53,'Auto Feed'!$A$2:$A$139,0))</f>
        <v/>
      </c>
      <c r="Q53" s="54">
        <f>INDEX('Auto Feed'!$J$2:$J$139,MATCH($B53,'Auto Feed'!$A$2:$A$139,0))</f>
        <v/>
      </c>
      <c r="R53" s="54">
        <f>((P53-AVERAGE('Auto Feed'!$I$2:$I$139))/STDEV('Auto Feed'!$I$2:$I$139))-((Q53-AVERAGE('Auto Feed'!$J$2:$J$139))/STDEV('Auto Feed'!$J$2:$J$139))</f>
        <v/>
      </c>
      <c r="S53" s="54">
        <f>((R53-AVERAGE($R$2:$R$139))/STDEV($R$2:$R$139))*'Weights &amp; Params'!$B$14</f>
        <v/>
      </c>
    </row>
    <row r="54">
      <c r="A54" s="12">
        <f>RANK(O54,$O$2:$O$139,0)</f>
        <v/>
      </c>
      <c r="B54" s="30" t="inlineStr">
        <is>
          <t>Liberty</t>
        </is>
      </c>
      <c r="C54" s="23">
        <f>INDEX('Auto Feed'!$B$2:$B$139,MATCH($B54,'Auto Feed'!$A$2:$A$139,0))</f>
        <v/>
      </c>
      <c r="D54" s="31">
        <f>INDEX('Weekly Input'!$B$2:$B$139,MATCH($B54,'Weekly Input'!$A$2:$A$139,0))</f>
        <v/>
      </c>
      <c r="E54" s="31">
        <f>INDEX('Auto Feed'!$C$2:$C$139,MATCH($B54,'Auto Feed'!$A$2:$A$139,0))</f>
        <v/>
      </c>
      <c r="F54" s="31">
        <f>INDEX('Auto Feed'!$D$2:$D$139,MATCH($B54,'Auto Feed'!$A$2:$A$139,0))</f>
        <v/>
      </c>
      <c r="G54" s="51">
        <f>INDEX('Auto Feed'!$E$2:$E$139,MATCH($B54,'Auto Feed'!$A$2:$A$139,0))</f>
        <v/>
      </c>
      <c r="H54" s="51">
        <f>INDEX('Auto Feed'!$F$2:$F$139,MATCH($B54,'Auto Feed'!$A$2:$A$139,0))</f>
        <v/>
      </c>
      <c r="I54" s="51">
        <f>INDEX('Auto Feed'!$G$2:$G$139,MATCH($B54,'Auto Feed'!$A$2:$A$139,0))</f>
        <v/>
      </c>
      <c r="J54" s="51">
        <f>INDEX('Auto Feed'!$H$2:$H$139,MATCH($B54,'Auto Feed'!$A$2:$A$139,0))</f>
        <v/>
      </c>
      <c r="K54" s="32">
        <f>((G54-AVERAGE('Auto Feed'!$E$2:$E$139))/STDEV('Auto Feed'!$E$2:$E$139))+((H54-AVERAGE('Auto Feed'!$F$2:$F$139))/STDEV('Auto Feed'!$F$2:$F$139))+((I54-AVERAGE('Auto Feed'!$G$2:$G$139))/STDEV('Auto Feed'!$G$2:$G$139))-((J54-AVERAGE('Auto Feed'!$H$2:$H$139))/STDEV('Auto Feed'!$H$2:$H$139))</f>
        <v/>
      </c>
      <c r="L54" s="31">
        <f>((E54-AVERAGE('Auto Feed'!$C$2:$C$139))/STDEV('Auto Feed'!$C$2:$C$139))*'Weights &amp; Params'!$B$14</f>
        <v/>
      </c>
      <c r="M54" s="31">
        <f>((F54-AVERAGE('Auto Feed'!$D$2:$D$139))/STDEV('Auto Feed'!$D$2:$D$139))*'Weights &amp; Params'!$B$14</f>
        <v/>
      </c>
      <c r="N54" s="31">
        <f>((K54-AVERAGE($K$2:$K$139))/STDEV($K$2:$K$139))*'Weights &amp; Params'!$B$14</f>
        <v/>
      </c>
      <c r="O54" s="33">
        <f>'Weights &amp; Params'!$B$5*D54+'Weights &amp; Params'!$B$6*L54+'Weights &amp; Params'!$B$7*M54+'Weights &amp; Params'!$B$8*N54+'Weights &amp; Params'!$B$17*S54</f>
        <v/>
      </c>
      <c r="P54" s="54">
        <f>INDEX('Auto Feed'!$I$2:$I$139,MATCH($B54,'Auto Feed'!$A$2:$A$139,0))</f>
        <v/>
      </c>
      <c r="Q54" s="54">
        <f>INDEX('Auto Feed'!$J$2:$J$139,MATCH($B54,'Auto Feed'!$A$2:$A$139,0))</f>
        <v/>
      </c>
      <c r="R54" s="54">
        <f>((P54-AVERAGE('Auto Feed'!$I$2:$I$139))/STDEV('Auto Feed'!$I$2:$I$139))-((Q54-AVERAGE('Auto Feed'!$J$2:$J$139))/STDEV('Auto Feed'!$J$2:$J$139))</f>
        <v/>
      </c>
      <c r="S54" s="54">
        <f>((R54-AVERAGE($R$2:$R$139))/STDEV($R$2:$R$139))*'Weights &amp; Params'!$B$14</f>
        <v/>
      </c>
    </row>
    <row r="55">
      <c r="A55" s="12">
        <f>RANK(O55,$O$2:$O$139,0)</f>
        <v/>
      </c>
      <c r="B55" s="30" t="inlineStr">
        <is>
          <t>Louisiana</t>
        </is>
      </c>
      <c r="C55" s="23">
        <f>INDEX('Auto Feed'!$B$2:$B$139,MATCH($B55,'Auto Feed'!$A$2:$A$139,0))</f>
        <v/>
      </c>
      <c r="D55" s="31">
        <f>INDEX('Weekly Input'!$B$2:$B$139,MATCH($B55,'Weekly Input'!$A$2:$A$139,0))</f>
        <v/>
      </c>
      <c r="E55" s="31">
        <f>INDEX('Auto Feed'!$C$2:$C$139,MATCH($B55,'Auto Feed'!$A$2:$A$139,0))</f>
        <v/>
      </c>
      <c r="F55" s="31">
        <f>INDEX('Auto Feed'!$D$2:$D$139,MATCH($B55,'Auto Feed'!$A$2:$A$139,0))</f>
        <v/>
      </c>
      <c r="G55" s="51">
        <f>INDEX('Auto Feed'!$E$2:$E$139,MATCH($B55,'Auto Feed'!$A$2:$A$139,0))</f>
        <v/>
      </c>
      <c r="H55" s="51">
        <f>INDEX('Auto Feed'!$F$2:$F$139,MATCH($B55,'Auto Feed'!$A$2:$A$139,0))</f>
        <v/>
      </c>
      <c r="I55" s="51">
        <f>INDEX('Auto Feed'!$G$2:$G$139,MATCH($B55,'Auto Feed'!$A$2:$A$139,0))</f>
        <v/>
      </c>
      <c r="J55" s="51">
        <f>INDEX('Auto Feed'!$H$2:$H$139,MATCH($B55,'Auto Feed'!$A$2:$A$139,0))</f>
        <v/>
      </c>
      <c r="K55" s="32">
        <f>((G55-AVERAGE('Auto Feed'!$E$2:$E$139))/STDEV('Auto Feed'!$E$2:$E$139))+((H55-AVERAGE('Auto Feed'!$F$2:$F$139))/STDEV('Auto Feed'!$F$2:$F$139))+((I55-AVERAGE('Auto Feed'!$G$2:$G$139))/STDEV('Auto Feed'!$G$2:$G$139))-((J55-AVERAGE('Auto Feed'!$H$2:$H$139))/STDEV('Auto Feed'!$H$2:$H$139))</f>
        <v/>
      </c>
      <c r="L55" s="31">
        <f>((E55-AVERAGE('Auto Feed'!$C$2:$C$139))/STDEV('Auto Feed'!$C$2:$C$139))*'Weights &amp; Params'!$B$14</f>
        <v/>
      </c>
      <c r="M55" s="31">
        <f>((F55-AVERAGE('Auto Feed'!$D$2:$D$139))/STDEV('Auto Feed'!$D$2:$D$139))*'Weights &amp; Params'!$B$14</f>
        <v/>
      </c>
      <c r="N55" s="31">
        <f>((K55-AVERAGE($K$2:$K$139))/STDEV($K$2:$K$139))*'Weights &amp; Params'!$B$14</f>
        <v/>
      </c>
      <c r="O55" s="33">
        <f>'Weights &amp; Params'!$B$5*D55+'Weights &amp; Params'!$B$6*L55+'Weights &amp; Params'!$B$7*M55+'Weights &amp; Params'!$B$8*N55+'Weights &amp; Params'!$B$17*S55</f>
        <v/>
      </c>
      <c r="P55" s="54">
        <f>INDEX('Auto Feed'!$I$2:$I$139,MATCH($B55,'Auto Feed'!$A$2:$A$139,0))</f>
        <v/>
      </c>
      <c r="Q55" s="54">
        <f>INDEX('Auto Feed'!$J$2:$J$139,MATCH($B55,'Auto Feed'!$A$2:$A$139,0))</f>
        <v/>
      </c>
      <c r="R55" s="54">
        <f>((P55-AVERAGE('Auto Feed'!$I$2:$I$139))/STDEV('Auto Feed'!$I$2:$I$139))-((Q55-AVERAGE('Auto Feed'!$J$2:$J$139))/STDEV('Auto Feed'!$J$2:$J$139))</f>
        <v/>
      </c>
      <c r="S55" s="54">
        <f>((R55-AVERAGE($R$2:$R$139))/STDEV($R$2:$R$139))*'Weights &amp; Params'!$B$14</f>
        <v/>
      </c>
    </row>
    <row r="56">
      <c r="A56" s="12">
        <f>RANK(O56,$O$2:$O$139,0)</f>
        <v/>
      </c>
      <c r="B56" s="30" t="inlineStr">
        <is>
          <t>Louisiana Tech</t>
        </is>
      </c>
      <c r="C56" s="23">
        <f>INDEX('Auto Feed'!$B$2:$B$139,MATCH($B56,'Auto Feed'!$A$2:$A$139,0))</f>
        <v/>
      </c>
      <c r="D56" s="31">
        <f>INDEX('Weekly Input'!$B$2:$B$139,MATCH($B56,'Weekly Input'!$A$2:$A$139,0))</f>
        <v/>
      </c>
      <c r="E56" s="31">
        <f>INDEX('Auto Feed'!$C$2:$C$139,MATCH($B56,'Auto Feed'!$A$2:$A$139,0))</f>
        <v/>
      </c>
      <c r="F56" s="31">
        <f>INDEX('Auto Feed'!$D$2:$D$139,MATCH($B56,'Auto Feed'!$A$2:$A$139,0))</f>
        <v/>
      </c>
      <c r="G56" s="51">
        <f>INDEX('Auto Feed'!$E$2:$E$139,MATCH($B56,'Auto Feed'!$A$2:$A$139,0))</f>
        <v/>
      </c>
      <c r="H56" s="51">
        <f>INDEX('Auto Feed'!$F$2:$F$139,MATCH($B56,'Auto Feed'!$A$2:$A$139,0))</f>
        <v/>
      </c>
      <c r="I56" s="51">
        <f>INDEX('Auto Feed'!$G$2:$G$139,MATCH($B56,'Auto Feed'!$A$2:$A$139,0))</f>
        <v/>
      </c>
      <c r="J56" s="51">
        <f>INDEX('Auto Feed'!$H$2:$H$139,MATCH($B56,'Auto Feed'!$A$2:$A$139,0))</f>
        <v/>
      </c>
      <c r="K56" s="32">
        <f>((G56-AVERAGE('Auto Feed'!$E$2:$E$139))/STDEV('Auto Feed'!$E$2:$E$139))+((H56-AVERAGE('Auto Feed'!$F$2:$F$139))/STDEV('Auto Feed'!$F$2:$F$139))+((I56-AVERAGE('Auto Feed'!$G$2:$G$139))/STDEV('Auto Feed'!$G$2:$G$139))-((J56-AVERAGE('Auto Feed'!$H$2:$H$139))/STDEV('Auto Feed'!$H$2:$H$139))</f>
        <v/>
      </c>
      <c r="L56" s="31">
        <f>((E56-AVERAGE('Auto Feed'!$C$2:$C$139))/STDEV('Auto Feed'!$C$2:$C$139))*'Weights &amp; Params'!$B$14</f>
        <v/>
      </c>
      <c r="M56" s="31">
        <f>((F56-AVERAGE('Auto Feed'!$D$2:$D$139))/STDEV('Auto Feed'!$D$2:$D$139))*'Weights &amp; Params'!$B$14</f>
        <v/>
      </c>
      <c r="N56" s="31">
        <f>((K56-AVERAGE($K$2:$K$139))/STDEV($K$2:$K$139))*'Weights &amp; Params'!$B$14</f>
        <v/>
      </c>
      <c r="O56" s="33">
        <f>'Weights &amp; Params'!$B$5*D56+'Weights &amp; Params'!$B$6*L56+'Weights &amp; Params'!$B$7*M56+'Weights &amp; Params'!$B$8*N56+'Weights &amp; Params'!$B$17*S56</f>
        <v/>
      </c>
      <c r="P56" s="54">
        <f>INDEX('Auto Feed'!$I$2:$I$139,MATCH($B56,'Auto Feed'!$A$2:$A$139,0))</f>
        <v/>
      </c>
      <c r="Q56" s="54">
        <f>INDEX('Auto Feed'!$J$2:$J$139,MATCH($B56,'Auto Feed'!$A$2:$A$139,0))</f>
        <v/>
      </c>
      <c r="R56" s="54">
        <f>((P56-AVERAGE('Auto Feed'!$I$2:$I$139))/STDEV('Auto Feed'!$I$2:$I$139))-((Q56-AVERAGE('Auto Feed'!$J$2:$J$139))/STDEV('Auto Feed'!$J$2:$J$139))</f>
        <v/>
      </c>
      <c r="S56" s="54">
        <f>((R56-AVERAGE($R$2:$R$139))/STDEV($R$2:$R$139))*'Weights &amp; Params'!$B$14</f>
        <v/>
      </c>
    </row>
    <row r="57">
      <c r="A57" s="12">
        <f>RANK(O57,$O$2:$O$139,0)</f>
        <v/>
      </c>
      <c r="B57" s="30" t="inlineStr">
        <is>
          <t>Louisiana-Monroe</t>
        </is>
      </c>
      <c r="C57" s="23">
        <f>INDEX('Auto Feed'!$B$2:$B$139,MATCH($B57,'Auto Feed'!$A$2:$A$139,0))</f>
        <v/>
      </c>
      <c r="D57" s="31">
        <f>INDEX('Weekly Input'!$B$2:$B$139,MATCH($B57,'Weekly Input'!$A$2:$A$139,0))</f>
        <v/>
      </c>
      <c r="E57" s="31">
        <f>INDEX('Auto Feed'!$C$2:$C$139,MATCH($B57,'Auto Feed'!$A$2:$A$139,0))</f>
        <v/>
      </c>
      <c r="F57" s="31">
        <f>INDEX('Auto Feed'!$D$2:$D$139,MATCH($B57,'Auto Feed'!$A$2:$A$139,0))</f>
        <v/>
      </c>
      <c r="G57" s="51">
        <f>INDEX('Auto Feed'!$E$2:$E$139,MATCH($B57,'Auto Feed'!$A$2:$A$139,0))</f>
        <v/>
      </c>
      <c r="H57" s="51">
        <f>INDEX('Auto Feed'!$F$2:$F$139,MATCH($B57,'Auto Feed'!$A$2:$A$139,0))</f>
        <v/>
      </c>
      <c r="I57" s="51">
        <f>INDEX('Auto Feed'!$G$2:$G$139,MATCH($B57,'Auto Feed'!$A$2:$A$139,0))</f>
        <v/>
      </c>
      <c r="J57" s="51">
        <f>INDEX('Auto Feed'!$H$2:$H$139,MATCH($B57,'Auto Feed'!$A$2:$A$139,0))</f>
        <v/>
      </c>
      <c r="K57" s="32">
        <f>((G57-AVERAGE('Auto Feed'!$E$2:$E$139))/STDEV('Auto Feed'!$E$2:$E$139))+((H57-AVERAGE('Auto Feed'!$F$2:$F$139))/STDEV('Auto Feed'!$F$2:$F$139))+((I57-AVERAGE('Auto Feed'!$G$2:$G$139))/STDEV('Auto Feed'!$G$2:$G$139))-((J57-AVERAGE('Auto Feed'!$H$2:$H$139))/STDEV('Auto Feed'!$H$2:$H$139))</f>
        <v/>
      </c>
      <c r="L57" s="31">
        <f>((E57-AVERAGE('Auto Feed'!$C$2:$C$139))/STDEV('Auto Feed'!$C$2:$C$139))*'Weights &amp; Params'!$B$14</f>
        <v/>
      </c>
      <c r="M57" s="31">
        <f>((F57-AVERAGE('Auto Feed'!$D$2:$D$139))/STDEV('Auto Feed'!$D$2:$D$139))*'Weights &amp; Params'!$B$14</f>
        <v/>
      </c>
      <c r="N57" s="31">
        <f>((K57-AVERAGE($K$2:$K$139))/STDEV($K$2:$K$139))*'Weights &amp; Params'!$B$14</f>
        <v/>
      </c>
      <c r="O57" s="33">
        <f>'Weights &amp; Params'!$B$5*D57+'Weights &amp; Params'!$B$6*L57+'Weights &amp; Params'!$B$7*M57+'Weights &amp; Params'!$B$8*N57+'Weights &amp; Params'!$B$17*S57</f>
        <v/>
      </c>
      <c r="P57" s="54">
        <f>INDEX('Auto Feed'!$I$2:$I$139,MATCH($B57,'Auto Feed'!$A$2:$A$139,0))</f>
        <v/>
      </c>
      <c r="Q57" s="54">
        <f>INDEX('Auto Feed'!$J$2:$J$139,MATCH($B57,'Auto Feed'!$A$2:$A$139,0))</f>
        <v/>
      </c>
      <c r="R57" s="54">
        <f>((P57-AVERAGE('Auto Feed'!$I$2:$I$139))/STDEV('Auto Feed'!$I$2:$I$139))-((Q57-AVERAGE('Auto Feed'!$J$2:$J$139))/STDEV('Auto Feed'!$J$2:$J$139))</f>
        <v/>
      </c>
      <c r="S57" s="54">
        <f>((R57-AVERAGE($R$2:$R$139))/STDEV($R$2:$R$139))*'Weights &amp; Params'!$B$14</f>
        <v/>
      </c>
    </row>
    <row r="58">
      <c r="A58" s="12">
        <f>RANK(O58,$O$2:$O$139,0)</f>
        <v/>
      </c>
      <c r="B58" s="30" t="inlineStr">
        <is>
          <t>Louisville</t>
        </is>
      </c>
      <c r="C58" s="23">
        <f>INDEX('Auto Feed'!$B$2:$B$139,MATCH($B58,'Auto Feed'!$A$2:$A$139,0))</f>
        <v/>
      </c>
      <c r="D58" s="31">
        <f>INDEX('Weekly Input'!$B$2:$B$139,MATCH($B58,'Weekly Input'!$A$2:$A$139,0))</f>
        <v/>
      </c>
      <c r="E58" s="31">
        <f>INDEX('Auto Feed'!$C$2:$C$139,MATCH($B58,'Auto Feed'!$A$2:$A$139,0))</f>
        <v/>
      </c>
      <c r="F58" s="31">
        <f>INDEX('Auto Feed'!$D$2:$D$139,MATCH($B58,'Auto Feed'!$A$2:$A$139,0))</f>
        <v/>
      </c>
      <c r="G58" s="51">
        <f>INDEX('Auto Feed'!$E$2:$E$139,MATCH($B58,'Auto Feed'!$A$2:$A$139,0))</f>
        <v/>
      </c>
      <c r="H58" s="51">
        <f>INDEX('Auto Feed'!$F$2:$F$139,MATCH($B58,'Auto Feed'!$A$2:$A$139,0))</f>
        <v/>
      </c>
      <c r="I58" s="51">
        <f>INDEX('Auto Feed'!$G$2:$G$139,MATCH($B58,'Auto Feed'!$A$2:$A$139,0))</f>
        <v/>
      </c>
      <c r="J58" s="51">
        <f>INDEX('Auto Feed'!$H$2:$H$139,MATCH($B58,'Auto Feed'!$A$2:$A$139,0))</f>
        <v/>
      </c>
      <c r="K58" s="32">
        <f>((G58-AVERAGE('Auto Feed'!$E$2:$E$139))/STDEV('Auto Feed'!$E$2:$E$139))+((H58-AVERAGE('Auto Feed'!$F$2:$F$139))/STDEV('Auto Feed'!$F$2:$F$139))+((I58-AVERAGE('Auto Feed'!$G$2:$G$139))/STDEV('Auto Feed'!$G$2:$G$139))-((J58-AVERAGE('Auto Feed'!$H$2:$H$139))/STDEV('Auto Feed'!$H$2:$H$139))</f>
        <v/>
      </c>
      <c r="L58" s="31">
        <f>((E58-AVERAGE('Auto Feed'!$C$2:$C$139))/STDEV('Auto Feed'!$C$2:$C$139))*'Weights &amp; Params'!$B$14</f>
        <v/>
      </c>
      <c r="M58" s="31">
        <f>((F58-AVERAGE('Auto Feed'!$D$2:$D$139))/STDEV('Auto Feed'!$D$2:$D$139))*'Weights &amp; Params'!$B$14</f>
        <v/>
      </c>
      <c r="N58" s="31">
        <f>((K58-AVERAGE($K$2:$K$139))/STDEV($K$2:$K$139))*'Weights &amp; Params'!$B$14</f>
        <v/>
      </c>
      <c r="O58" s="33">
        <f>'Weights &amp; Params'!$B$5*D58+'Weights &amp; Params'!$B$6*L58+'Weights &amp; Params'!$B$7*M58+'Weights &amp; Params'!$B$8*N58+'Weights &amp; Params'!$B$17*S58</f>
        <v/>
      </c>
      <c r="P58" s="54">
        <f>INDEX('Auto Feed'!$I$2:$I$139,MATCH($B58,'Auto Feed'!$A$2:$A$139,0))</f>
        <v/>
      </c>
      <c r="Q58" s="54">
        <f>INDEX('Auto Feed'!$J$2:$J$139,MATCH($B58,'Auto Feed'!$A$2:$A$139,0))</f>
        <v/>
      </c>
      <c r="R58" s="54">
        <f>((P58-AVERAGE('Auto Feed'!$I$2:$I$139))/STDEV('Auto Feed'!$I$2:$I$139))-((Q58-AVERAGE('Auto Feed'!$J$2:$J$139))/STDEV('Auto Feed'!$J$2:$J$139))</f>
        <v/>
      </c>
      <c r="S58" s="54">
        <f>((R58-AVERAGE($R$2:$R$139))/STDEV($R$2:$R$139))*'Weights &amp; Params'!$B$14</f>
        <v/>
      </c>
    </row>
    <row r="59">
      <c r="A59" s="12">
        <f>RANK(O59,$O$2:$O$139,0)</f>
        <v/>
      </c>
      <c r="B59" s="30" t="inlineStr">
        <is>
          <t>Marshall</t>
        </is>
      </c>
      <c r="C59" s="23">
        <f>INDEX('Auto Feed'!$B$2:$B$139,MATCH($B59,'Auto Feed'!$A$2:$A$139,0))</f>
        <v/>
      </c>
      <c r="D59" s="31">
        <f>INDEX('Weekly Input'!$B$2:$B$139,MATCH($B59,'Weekly Input'!$A$2:$A$139,0))</f>
        <v/>
      </c>
      <c r="E59" s="31">
        <f>INDEX('Auto Feed'!$C$2:$C$139,MATCH($B59,'Auto Feed'!$A$2:$A$139,0))</f>
        <v/>
      </c>
      <c r="F59" s="31">
        <f>INDEX('Auto Feed'!$D$2:$D$139,MATCH($B59,'Auto Feed'!$A$2:$A$139,0))</f>
        <v/>
      </c>
      <c r="G59" s="51">
        <f>INDEX('Auto Feed'!$E$2:$E$139,MATCH($B59,'Auto Feed'!$A$2:$A$139,0))</f>
        <v/>
      </c>
      <c r="H59" s="51">
        <f>INDEX('Auto Feed'!$F$2:$F$139,MATCH($B59,'Auto Feed'!$A$2:$A$139,0))</f>
        <v/>
      </c>
      <c r="I59" s="51">
        <f>INDEX('Auto Feed'!$G$2:$G$139,MATCH($B59,'Auto Feed'!$A$2:$A$139,0))</f>
        <v/>
      </c>
      <c r="J59" s="51">
        <f>INDEX('Auto Feed'!$H$2:$H$139,MATCH($B59,'Auto Feed'!$A$2:$A$139,0))</f>
        <v/>
      </c>
      <c r="K59" s="32">
        <f>((G59-AVERAGE('Auto Feed'!$E$2:$E$139))/STDEV('Auto Feed'!$E$2:$E$139))+((H59-AVERAGE('Auto Feed'!$F$2:$F$139))/STDEV('Auto Feed'!$F$2:$F$139))+((I59-AVERAGE('Auto Feed'!$G$2:$G$139))/STDEV('Auto Feed'!$G$2:$G$139))-((J59-AVERAGE('Auto Feed'!$H$2:$H$139))/STDEV('Auto Feed'!$H$2:$H$139))</f>
        <v/>
      </c>
      <c r="L59" s="31">
        <f>((E59-AVERAGE('Auto Feed'!$C$2:$C$139))/STDEV('Auto Feed'!$C$2:$C$139))*'Weights &amp; Params'!$B$14</f>
        <v/>
      </c>
      <c r="M59" s="31">
        <f>((F59-AVERAGE('Auto Feed'!$D$2:$D$139))/STDEV('Auto Feed'!$D$2:$D$139))*'Weights &amp; Params'!$B$14</f>
        <v/>
      </c>
      <c r="N59" s="31">
        <f>((K59-AVERAGE($K$2:$K$139))/STDEV($K$2:$K$139))*'Weights &amp; Params'!$B$14</f>
        <v/>
      </c>
      <c r="O59" s="33">
        <f>'Weights &amp; Params'!$B$5*D59+'Weights &amp; Params'!$B$6*L59+'Weights &amp; Params'!$B$7*M59+'Weights &amp; Params'!$B$8*N59+'Weights &amp; Params'!$B$17*S59</f>
        <v/>
      </c>
      <c r="P59" s="54">
        <f>INDEX('Auto Feed'!$I$2:$I$139,MATCH($B59,'Auto Feed'!$A$2:$A$139,0))</f>
        <v/>
      </c>
      <c r="Q59" s="54">
        <f>INDEX('Auto Feed'!$J$2:$J$139,MATCH($B59,'Auto Feed'!$A$2:$A$139,0))</f>
        <v/>
      </c>
      <c r="R59" s="54">
        <f>((P59-AVERAGE('Auto Feed'!$I$2:$I$139))/STDEV('Auto Feed'!$I$2:$I$139))-((Q59-AVERAGE('Auto Feed'!$J$2:$J$139))/STDEV('Auto Feed'!$J$2:$J$139))</f>
        <v/>
      </c>
      <c r="S59" s="54">
        <f>((R59-AVERAGE($R$2:$R$139))/STDEV($R$2:$R$139))*'Weights &amp; Params'!$B$14</f>
        <v/>
      </c>
    </row>
    <row r="60">
      <c r="A60" s="12">
        <f>RANK(O60,$O$2:$O$139,0)</f>
        <v/>
      </c>
      <c r="B60" s="30" t="inlineStr">
        <is>
          <t>Maryland</t>
        </is>
      </c>
      <c r="C60" s="23">
        <f>INDEX('Auto Feed'!$B$2:$B$139,MATCH($B60,'Auto Feed'!$A$2:$A$139,0))</f>
        <v/>
      </c>
      <c r="D60" s="31">
        <f>INDEX('Weekly Input'!$B$2:$B$139,MATCH($B60,'Weekly Input'!$A$2:$A$139,0))</f>
        <v/>
      </c>
      <c r="E60" s="31">
        <f>INDEX('Auto Feed'!$C$2:$C$139,MATCH($B60,'Auto Feed'!$A$2:$A$139,0))</f>
        <v/>
      </c>
      <c r="F60" s="31">
        <f>INDEX('Auto Feed'!$D$2:$D$139,MATCH($B60,'Auto Feed'!$A$2:$A$139,0))</f>
        <v/>
      </c>
      <c r="G60" s="51">
        <f>INDEX('Auto Feed'!$E$2:$E$139,MATCH($B60,'Auto Feed'!$A$2:$A$139,0))</f>
        <v/>
      </c>
      <c r="H60" s="51">
        <f>INDEX('Auto Feed'!$F$2:$F$139,MATCH($B60,'Auto Feed'!$A$2:$A$139,0))</f>
        <v/>
      </c>
      <c r="I60" s="51">
        <f>INDEX('Auto Feed'!$G$2:$G$139,MATCH($B60,'Auto Feed'!$A$2:$A$139,0))</f>
        <v/>
      </c>
      <c r="J60" s="51">
        <f>INDEX('Auto Feed'!$H$2:$H$139,MATCH($B60,'Auto Feed'!$A$2:$A$139,0))</f>
        <v/>
      </c>
      <c r="K60" s="32">
        <f>((G60-AVERAGE('Auto Feed'!$E$2:$E$139))/STDEV('Auto Feed'!$E$2:$E$139))+((H60-AVERAGE('Auto Feed'!$F$2:$F$139))/STDEV('Auto Feed'!$F$2:$F$139))+((I60-AVERAGE('Auto Feed'!$G$2:$G$139))/STDEV('Auto Feed'!$G$2:$G$139))-((J60-AVERAGE('Auto Feed'!$H$2:$H$139))/STDEV('Auto Feed'!$H$2:$H$139))</f>
        <v/>
      </c>
      <c r="L60" s="31">
        <f>((E60-AVERAGE('Auto Feed'!$C$2:$C$139))/STDEV('Auto Feed'!$C$2:$C$139))*'Weights &amp; Params'!$B$14</f>
        <v/>
      </c>
      <c r="M60" s="31">
        <f>((F60-AVERAGE('Auto Feed'!$D$2:$D$139))/STDEV('Auto Feed'!$D$2:$D$139))*'Weights &amp; Params'!$B$14</f>
        <v/>
      </c>
      <c r="N60" s="31">
        <f>((K60-AVERAGE($K$2:$K$139))/STDEV($K$2:$K$139))*'Weights &amp; Params'!$B$14</f>
        <v/>
      </c>
      <c r="O60" s="33">
        <f>'Weights &amp; Params'!$B$5*D60+'Weights &amp; Params'!$B$6*L60+'Weights &amp; Params'!$B$7*M60+'Weights &amp; Params'!$B$8*N60+'Weights &amp; Params'!$B$17*S60</f>
        <v/>
      </c>
      <c r="P60" s="54">
        <f>INDEX('Auto Feed'!$I$2:$I$139,MATCH($B60,'Auto Feed'!$A$2:$A$139,0))</f>
        <v/>
      </c>
      <c r="Q60" s="54">
        <f>INDEX('Auto Feed'!$J$2:$J$139,MATCH($B60,'Auto Feed'!$A$2:$A$139,0))</f>
        <v/>
      </c>
      <c r="R60" s="54">
        <f>((P60-AVERAGE('Auto Feed'!$I$2:$I$139))/STDEV('Auto Feed'!$I$2:$I$139))-((Q60-AVERAGE('Auto Feed'!$J$2:$J$139))/STDEV('Auto Feed'!$J$2:$J$139))</f>
        <v/>
      </c>
      <c r="S60" s="54">
        <f>((R60-AVERAGE($R$2:$R$139))/STDEV($R$2:$R$139))*'Weights &amp; Params'!$B$14</f>
        <v/>
      </c>
    </row>
    <row r="61">
      <c r="A61" s="12">
        <f>RANK(O61,$O$2:$O$139,0)</f>
        <v/>
      </c>
      <c r="B61" s="30" t="inlineStr">
        <is>
          <t>Memphis</t>
        </is>
      </c>
      <c r="C61" s="23">
        <f>INDEX('Auto Feed'!$B$2:$B$139,MATCH($B61,'Auto Feed'!$A$2:$A$139,0))</f>
        <v/>
      </c>
      <c r="D61" s="31">
        <f>INDEX('Weekly Input'!$B$2:$B$139,MATCH($B61,'Weekly Input'!$A$2:$A$139,0))</f>
        <v/>
      </c>
      <c r="E61" s="31">
        <f>INDEX('Auto Feed'!$C$2:$C$139,MATCH($B61,'Auto Feed'!$A$2:$A$139,0))</f>
        <v/>
      </c>
      <c r="F61" s="31">
        <f>INDEX('Auto Feed'!$D$2:$D$139,MATCH($B61,'Auto Feed'!$A$2:$A$139,0))</f>
        <v/>
      </c>
      <c r="G61" s="51">
        <f>INDEX('Auto Feed'!$E$2:$E$139,MATCH($B61,'Auto Feed'!$A$2:$A$139,0))</f>
        <v/>
      </c>
      <c r="H61" s="51">
        <f>INDEX('Auto Feed'!$F$2:$F$139,MATCH($B61,'Auto Feed'!$A$2:$A$139,0))</f>
        <v/>
      </c>
      <c r="I61" s="51">
        <f>INDEX('Auto Feed'!$G$2:$G$139,MATCH($B61,'Auto Feed'!$A$2:$A$139,0))</f>
        <v/>
      </c>
      <c r="J61" s="51">
        <f>INDEX('Auto Feed'!$H$2:$H$139,MATCH($B61,'Auto Feed'!$A$2:$A$139,0))</f>
        <v/>
      </c>
      <c r="K61" s="32">
        <f>((G61-AVERAGE('Auto Feed'!$E$2:$E$139))/STDEV('Auto Feed'!$E$2:$E$139))+((H61-AVERAGE('Auto Feed'!$F$2:$F$139))/STDEV('Auto Feed'!$F$2:$F$139))+((I61-AVERAGE('Auto Feed'!$G$2:$G$139))/STDEV('Auto Feed'!$G$2:$G$139))-((J61-AVERAGE('Auto Feed'!$H$2:$H$139))/STDEV('Auto Feed'!$H$2:$H$139))</f>
        <v/>
      </c>
      <c r="L61" s="31">
        <f>((E61-AVERAGE('Auto Feed'!$C$2:$C$139))/STDEV('Auto Feed'!$C$2:$C$139))*'Weights &amp; Params'!$B$14</f>
        <v/>
      </c>
      <c r="M61" s="31">
        <f>((F61-AVERAGE('Auto Feed'!$D$2:$D$139))/STDEV('Auto Feed'!$D$2:$D$139))*'Weights &amp; Params'!$B$14</f>
        <v/>
      </c>
      <c r="N61" s="31">
        <f>((K61-AVERAGE($K$2:$K$139))/STDEV($K$2:$K$139))*'Weights &amp; Params'!$B$14</f>
        <v/>
      </c>
      <c r="O61" s="33">
        <f>'Weights &amp; Params'!$B$5*D61+'Weights &amp; Params'!$B$6*L61+'Weights &amp; Params'!$B$7*M61+'Weights &amp; Params'!$B$8*N61+'Weights &amp; Params'!$B$17*S61</f>
        <v/>
      </c>
      <c r="P61" s="54">
        <f>INDEX('Auto Feed'!$I$2:$I$139,MATCH($B61,'Auto Feed'!$A$2:$A$139,0))</f>
        <v/>
      </c>
      <c r="Q61" s="54">
        <f>INDEX('Auto Feed'!$J$2:$J$139,MATCH($B61,'Auto Feed'!$A$2:$A$139,0))</f>
        <v/>
      </c>
      <c r="R61" s="54">
        <f>((P61-AVERAGE('Auto Feed'!$I$2:$I$139))/STDEV('Auto Feed'!$I$2:$I$139))-((Q61-AVERAGE('Auto Feed'!$J$2:$J$139))/STDEV('Auto Feed'!$J$2:$J$139))</f>
        <v/>
      </c>
      <c r="S61" s="54">
        <f>((R61-AVERAGE($R$2:$R$139))/STDEV($R$2:$R$139))*'Weights &amp; Params'!$B$14</f>
        <v/>
      </c>
    </row>
    <row r="62">
      <c r="A62" s="12">
        <f>RANK(O62,$O$2:$O$139,0)</f>
        <v/>
      </c>
      <c r="B62" s="30" t="inlineStr">
        <is>
          <t>Miami</t>
        </is>
      </c>
      <c r="C62" s="23">
        <f>INDEX('Auto Feed'!$B$2:$B$139,MATCH($B62,'Auto Feed'!$A$2:$A$139,0))</f>
        <v/>
      </c>
      <c r="D62" s="31">
        <f>INDEX('Weekly Input'!$B$2:$B$139,MATCH($B62,'Weekly Input'!$A$2:$A$139,0))</f>
        <v/>
      </c>
      <c r="E62" s="31">
        <f>INDEX('Auto Feed'!$C$2:$C$139,MATCH($B62,'Auto Feed'!$A$2:$A$139,0))</f>
        <v/>
      </c>
      <c r="F62" s="31">
        <f>INDEX('Auto Feed'!$D$2:$D$139,MATCH($B62,'Auto Feed'!$A$2:$A$139,0))</f>
        <v/>
      </c>
      <c r="G62" s="51">
        <f>INDEX('Auto Feed'!$E$2:$E$139,MATCH($B62,'Auto Feed'!$A$2:$A$139,0))</f>
        <v/>
      </c>
      <c r="H62" s="51">
        <f>INDEX('Auto Feed'!$F$2:$F$139,MATCH($B62,'Auto Feed'!$A$2:$A$139,0))</f>
        <v/>
      </c>
      <c r="I62" s="51">
        <f>INDEX('Auto Feed'!$G$2:$G$139,MATCH($B62,'Auto Feed'!$A$2:$A$139,0))</f>
        <v/>
      </c>
      <c r="J62" s="51">
        <f>INDEX('Auto Feed'!$H$2:$H$139,MATCH($B62,'Auto Feed'!$A$2:$A$139,0))</f>
        <v/>
      </c>
      <c r="K62" s="32">
        <f>((G62-AVERAGE('Auto Feed'!$E$2:$E$139))/STDEV('Auto Feed'!$E$2:$E$139))+((H62-AVERAGE('Auto Feed'!$F$2:$F$139))/STDEV('Auto Feed'!$F$2:$F$139))+((I62-AVERAGE('Auto Feed'!$G$2:$G$139))/STDEV('Auto Feed'!$G$2:$G$139))-((J62-AVERAGE('Auto Feed'!$H$2:$H$139))/STDEV('Auto Feed'!$H$2:$H$139))</f>
        <v/>
      </c>
      <c r="L62" s="31">
        <f>((E62-AVERAGE('Auto Feed'!$C$2:$C$139))/STDEV('Auto Feed'!$C$2:$C$139))*'Weights &amp; Params'!$B$14</f>
        <v/>
      </c>
      <c r="M62" s="31">
        <f>((F62-AVERAGE('Auto Feed'!$D$2:$D$139))/STDEV('Auto Feed'!$D$2:$D$139))*'Weights &amp; Params'!$B$14</f>
        <v/>
      </c>
      <c r="N62" s="31">
        <f>((K62-AVERAGE($K$2:$K$139))/STDEV($K$2:$K$139))*'Weights &amp; Params'!$B$14</f>
        <v/>
      </c>
      <c r="O62" s="33">
        <f>'Weights &amp; Params'!$B$5*D62+'Weights &amp; Params'!$B$6*L62+'Weights &amp; Params'!$B$7*M62+'Weights &amp; Params'!$B$8*N62+'Weights &amp; Params'!$B$17*S62</f>
        <v/>
      </c>
      <c r="P62" s="54">
        <f>INDEX('Auto Feed'!$I$2:$I$139,MATCH($B62,'Auto Feed'!$A$2:$A$139,0))</f>
        <v/>
      </c>
      <c r="Q62" s="54">
        <f>INDEX('Auto Feed'!$J$2:$J$139,MATCH($B62,'Auto Feed'!$A$2:$A$139,0))</f>
        <v/>
      </c>
      <c r="R62" s="54">
        <f>((P62-AVERAGE('Auto Feed'!$I$2:$I$139))/STDEV('Auto Feed'!$I$2:$I$139))-((Q62-AVERAGE('Auto Feed'!$J$2:$J$139))/STDEV('Auto Feed'!$J$2:$J$139))</f>
        <v/>
      </c>
      <c r="S62" s="54">
        <f>((R62-AVERAGE($R$2:$R$139))/STDEV($R$2:$R$139))*'Weights &amp; Params'!$B$14</f>
        <v/>
      </c>
    </row>
    <row r="63">
      <c r="A63" s="12">
        <f>RANK(O63,$O$2:$O$139,0)</f>
        <v/>
      </c>
      <c r="B63" s="30" t="inlineStr">
        <is>
          <t>Miami (OH)</t>
        </is>
      </c>
      <c r="C63" s="23">
        <f>INDEX('Auto Feed'!$B$2:$B$139,MATCH($B63,'Auto Feed'!$A$2:$A$139,0))</f>
        <v/>
      </c>
      <c r="D63" s="31">
        <f>INDEX('Weekly Input'!$B$2:$B$139,MATCH($B63,'Weekly Input'!$A$2:$A$139,0))</f>
        <v/>
      </c>
      <c r="E63" s="31">
        <f>INDEX('Auto Feed'!$C$2:$C$139,MATCH($B63,'Auto Feed'!$A$2:$A$139,0))</f>
        <v/>
      </c>
      <c r="F63" s="31">
        <f>INDEX('Auto Feed'!$D$2:$D$139,MATCH($B63,'Auto Feed'!$A$2:$A$139,0))</f>
        <v/>
      </c>
      <c r="G63" s="51">
        <f>INDEX('Auto Feed'!$E$2:$E$139,MATCH($B63,'Auto Feed'!$A$2:$A$139,0))</f>
        <v/>
      </c>
      <c r="H63" s="51">
        <f>INDEX('Auto Feed'!$F$2:$F$139,MATCH($B63,'Auto Feed'!$A$2:$A$139,0))</f>
        <v/>
      </c>
      <c r="I63" s="51">
        <f>INDEX('Auto Feed'!$G$2:$G$139,MATCH($B63,'Auto Feed'!$A$2:$A$139,0))</f>
        <v/>
      </c>
      <c r="J63" s="51">
        <f>INDEX('Auto Feed'!$H$2:$H$139,MATCH($B63,'Auto Feed'!$A$2:$A$139,0))</f>
        <v/>
      </c>
      <c r="K63" s="32">
        <f>((G63-AVERAGE('Auto Feed'!$E$2:$E$139))/STDEV('Auto Feed'!$E$2:$E$139))+((H63-AVERAGE('Auto Feed'!$F$2:$F$139))/STDEV('Auto Feed'!$F$2:$F$139))+((I63-AVERAGE('Auto Feed'!$G$2:$G$139))/STDEV('Auto Feed'!$G$2:$G$139))-((J63-AVERAGE('Auto Feed'!$H$2:$H$139))/STDEV('Auto Feed'!$H$2:$H$139))</f>
        <v/>
      </c>
      <c r="L63" s="31">
        <f>((E63-AVERAGE('Auto Feed'!$C$2:$C$139))/STDEV('Auto Feed'!$C$2:$C$139))*'Weights &amp; Params'!$B$14</f>
        <v/>
      </c>
      <c r="M63" s="31">
        <f>((F63-AVERAGE('Auto Feed'!$D$2:$D$139))/STDEV('Auto Feed'!$D$2:$D$139))*'Weights &amp; Params'!$B$14</f>
        <v/>
      </c>
      <c r="N63" s="31">
        <f>((K63-AVERAGE($K$2:$K$139))/STDEV($K$2:$K$139))*'Weights &amp; Params'!$B$14</f>
        <v/>
      </c>
      <c r="O63" s="33">
        <f>'Weights &amp; Params'!$B$5*D63+'Weights &amp; Params'!$B$6*L63+'Weights &amp; Params'!$B$7*M63+'Weights &amp; Params'!$B$8*N63+'Weights &amp; Params'!$B$17*S63</f>
        <v/>
      </c>
      <c r="P63" s="54">
        <f>INDEX('Auto Feed'!$I$2:$I$139,MATCH($B63,'Auto Feed'!$A$2:$A$139,0))</f>
        <v/>
      </c>
      <c r="Q63" s="54">
        <f>INDEX('Auto Feed'!$J$2:$J$139,MATCH($B63,'Auto Feed'!$A$2:$A$139,0))</f>
        <v/>
      </c>
      <c r="R63" s="54">
        <f>((P63-AVERAGE('Auto Feed'!$I$2:$I$139))/STDEV('Auto Feed'!$I$2:$I$139))-((Q63-AVERAGE('Auto Feed'!$J$2:$J$139))/STDEV('Auto Feed'!$J$2:$J$139))</f>
        <v/>
      </c>
      <c r="S63" s="54">
        <f>((R63-AVERAGE($R$2:$R$139))/STDEV($R$2:$R$139))*'Weights &amp; Params'!$B$14</f>
        <v/>
      </c>
    </row>
    <row r="64">
      <c r="A64" s="12">
        <f>RANK(O64,$O$2:$O$139,0)</f>
        <v/>
      </c>
      <c r="B64" s="30" t="inlineStr">
        <is>
          <t>Michigan</t>
        </is>
      </c>
      <c r="C64" s="23">
        <f>INDEX('Auto Feed'!$B$2:$B$139,MATCH($B64,'Auto Feed'!$A$2:$A$139,0))</f>
        <v/>
      </c>
      <c r="D64" s="31">
        <f>INDEX('Weekly Input'!$B$2:$B$139,MATCH($B64,'Weekly Input'!$A$2:$A$139,0))</f>
        <v/>
      </c>
      <c r="E64" s="31">
        <f>INDEX('Auto Feed'!$C$2:$C$139,MATCH($B64,'Auto Feed'!$A$2:$A$139,0))</f>
        <v/>
      </c>
      <c r="F64" s="31">
        <f>INDEX('Auto Feed'!$D$2:$D$139,MATCH($B64,'Auto Feed'!$A$2:$A$139,0))</f>
        <v/>
      </c>
      <c r="G64" s="51">
        <f>INDEX('Auto Feed'!$E$2:$E$139,MATCH($B64,'Auto Feed'!$A$2:$A$139,0))</f>
        <v/>
      </c>
      <c r="H64" s="51">
        <f>INDEX('Auto Feed'!$F$2:$F$139,MATCH($B64,'Auto Feed'!$A$2:$A$139,0))</f>
        <v/>
      </c>
      <c r="I64" s="51">
        <f>INDEX('Auto Feed'!$G$2:$G$139,MATCH($B64,'Auto Feed'!$A$2:$A$139,0))</f>
        <v/>
      </c>
      <c r="J64" s="51">
        <f>INDEX('Auto Feed'!$H$2:$H$139,MATCH($B64,'Auto Feed'!$A$2:$A$139,0))</f>
        <v/>
      </c>
      <c r="K64" s="32">
        <f>((G64-AVERAGE('Auto Feed'!$E$2:$E$139))/STDEV('Auto Feed'!$E$2:$E$139))+((H64-AVERAGE('Auto Feed'!$F$2:$F$139))/STDEV('Auto Feed'!$F$2:$F$139))+((I64-AVERAGE('Auto Feed'!$G$2:$G$139))/STDEV('Auto Feed'!$G$2:$G$139))-((J64-AVERAGE('Auto Feed'!$H$2:$H$139))/STDEV('Auto Feed'!$H$2:$H$139))</f>
        <v/>
      </c>
      <c r="L64" s="31">
        <f>((E64-AVERAGE('Auto Feed'!$C$2:$C$139))/STDEV('Auto Feed'!$C$2:$C$139))*'Weights &amp; Params'!$B$14</f>
        <v/>
      </c>
      <c r="M64" s="31">
        <f>((F64-AVERAGE('Auto Feed'!$D$2:$D$139))/STDEV('Auto Feed'!$D$2:$D$139))*'Weights &amp; Params'!$B$14</f>
        <v/>
      </c>
      <c r="N64" s="31">
        <f>((K64-AVERAGE($K$2:$K$139))/STDEV($K$2:$K$139))*'Weights &amp; Params'!$B$14</f>
        <v/>
      </c>
      <c r="O64" s="33">
        <f>'Weights &amp; Params'!$B$5*D64+'Weights &amp; Params'!$B$6*L64+'Weights &amp; Params'!$B$7*M64+'Weights &amp; Params'!$B$8*N64+'Weights &amp; Params'!$B$17*S64</f>
        <v/>
      </c>
      <c r="P64" s="54">
        <f>INDEX('Auto Feed'!$I$2:$I$139,MATCH($B64,'Auto Feed'!$A$2:$A$139,0))</f>
        <v/>
      </c>
      <c r="Q64" s="54">
        <f>INDEX('Auto Feed'!$J$2:$J$139,MATCH($B64,'Auto Feed'!$A$2:$A$139,0))</f>
        <v/>
      </c>
      <c r="R64" s="54">
        <f>((P64-AVERAGE('Auto Feed'!$I$2:$I$139))/STDEV('Auto Feed'!$I$2:$I$139))-((Q64-AVERAGE('Auto Feed'!$J$2:$J$139))/STDEV('Auto Feed'!$J$2:$J$139))</f>
        <v/>
      </c>
      <c r="S64" s="54">
        <f>((R64-AVERAGE($R$2:$R$139))/STDEV($R$2:$R$139))*'Weights &amp; Params'!$B$14</f>
        <v/>
      </c>
    </row>
    <row r="65">
      <c r="A65" s="12">
        <f>RANK(O65,$O$2:$O$139,0)</f>
        <v/>
      </c>
      <c r="B65" s="30" t="inlineStr">
        <is>
          <t>Michigan State</t>
        </is>
      </c>
      <c r="C65" s="23">
        <f>INDEX('Auto Feed'!$B$2:$B$139,MATCH($B65,'Auto Feed'!$A$2:$A$139,0))</f>
        <v/>
      </c>
      <c r="D65" s="31">
        <f>INDEX('Weekly Input'!$B$2:$B$139,MATCH($B65,'Weekly Input'!$A$2:$A$139,0))</f>
        <v/>
      </c>
      <c r="E65" s="31">
        <f>INDEX('Auto Feed'!$C$2:$C$139,MATCH($B65,'Auto Feed'!$A$2:$A$139,0))</f>
        <v/>
      </c>
      <c r="F65" s="31">
        <f>INDEX('Auto Feed'!$D$2:$D$139,MATCH($B65,'Auto Feed'!$A$2:$A$139,0))</f>
        <v/>
      </c>
      <c r="G65" s="51">
        <f>INDEX('Auto Feed'!$E$2:$E$139,MATCH($B65,'Auto Feed'!$A$2:$A$139,0))</f>
        <v/>
      </c>
      <c r="H65" s="51">
        <f>INDEX('Auto Feed'!$F$2:$F$139,MATCH($B65,'Auto Feed'!$A$2:$A$139,0))</f>
        <v/>
      </c>
      <c r="I65" s="51">
        <f>INDEX('Auto Feed'!$G$2:$G$139,MATCH($B65,'Auto Feed'!$A$2:$A$139,0))</f>
        <v/>
      </c>
      <c r="J65" s="51">
        <f>INDEX('Auto Feed'!$H$2:$H$139,MATCH($B65,'Auto Feed'!$A$2:$A$139,0))</f>
        <v/>
      </c>
      <c r="K65" s="32">
        <f>((G65-AVERAGE('Auto Feed'!$E$2:$E$139))/STDEV('Auto Feed'!$E$2:$E$139))+((H65-AVERAGE('Auto Feed'!$F$2:$F$139))/STDEV('Auto Feed'!$F$2:$F$139))+((I65-AVERAGE('Auto Feed'!$G$2:$G$139))/STDEV('Auto Feed'!$G$2:$G$139))-((J65-AVERAGE('Auto Feed'!$H$2:$H$139))/STDEV('Auto Feed'!$H$2:$H$139))</f>
        <v/>
      </c>
      <c r="L65" s="31">
        <f>((E65-AVERAGE('Auto Feed'!$C$2:$C$139))/STDEV('Auto Feed'!$C$2:$C$139))*'Weights &amp; Params'!$B$14</f>
        <v/>
      </c>
      <c r="M65" s="31">
        <f>((F65-AVERAGE('Auto Feed'!$D$2:$D$139))/STDEV('Auto Feed'!$D$2:$D$139))*'Weights &amp; Params'!$B$14</f>
        <v/>
      </c>
      <c r="N65" s="31">
        <f>((K65-AVERAGE($K$2:$K$139))/STDEV($K$2:$K$139))*'Weights &amp; Params'!$B$14</f>
        <v/>
      </c>
      <c r="O65" s="33">
        <f>'Weights &amp; Params'!$B$5*D65+'Weights &amp; Params'!$B$6*L65+'Weights &amp; Params'!$B$7*M65+'Weights &amp; Params'!$B$8*N65+'Weights &amp; Params'!$B$17*S65</f>
        <v/>
      </c>
      <c r="P65" s="54">
        <f>INDEX('Auto Feed'!$I$2:$I$139,MATCH($B65,'Auto Feed'!$A$2:$A$139,0))</f>
        <v/>
      </c>
      <c r="Q65" s="54">
        <f>INDEX('Auto Feed'!$J$2:$J$139,MATCH($B65,'Auto Feed'!$A$2:$A$139,0))</f>
        <v/>
      </c>
      <c r="R65" s="54">
        <f>((P65-AVERAGE('Auto Feed'!$I$2:$I$139))/STDEV('Auto Feed'!$I$2:$I$139))-((Q65-AVERAGE('Auto Feed'!$J$2:$J$139))/STDEV('Auto Feed'!$J$2:$J$139))</f>
        <v/>
      </c>
      <c r="S65" s="54">
        <f>((R65-AVERAGE($R$2:$R$139))/STDEV($R$2:$R$139))*'Weights &amp; Params'!$B$14</f>
        <v/>
      </c>
    </row>
    <row r="66">
      <c r="A66" s="12">
        <f>RANK(O66,$O$2:$O$139,0)</f>
        <v/>
      </c>
      <c r="B66" s="30" t="inlineStr">
        <is>
          <t>Middle Tennessee</t>
        </is>
      </c>
      <c r="C66" s="23">
        <f>INDEX('Auto Feed'!$B$2:$B$139,MATCH($B66,'Auto Feed'!$A$2:$A$139,0))</f>
        <v/>
      </c>
      <c r="D66" s="31">
        <f>INDEX('Weekly Input'!$B$2:$B$139,MATCH($B66,'Weekly Input'!$A$2:$A$139,0))</f>
        <v/>
      </c>
      <c r="E66" s="31">
        <f>INDEX('Auto Feed'!$C$2:$C$139,MATCH($B66,'Auto Feed'!$A$2:$A$139,0))</f>
        <v/>
      </c>
      <c r="F66" s="31">
        <f>INDEX('Auto Feed'!$D$2:$D$139,MATCH($B66,'Auto Feed'!$A$2:$A$139,0))</f>
        <v/>
      </c>
      <c r="G66" s="51">
        <f>INDEX('Auto Feed'!$E$2:$E$139,MATCH($B66,'Auto Feed'!$A$2:$A$139,0))</f>
        <v/>
      </c>
      <c r="H66" s="51">
        <f>INDEX('Auto Feed'!$F$2:$F$139,MATCH($B66,'Auto Feed'!$A$2:$A$139,0))</f>
        <v/>
      </c>
      <c r="I66" s="51">
        <f>INDEX('Auto Feed'!$G$2:$G$139,MATCH($B66,'Auto Feed'!$A$2:$A$139,0))</f>
        <v/>
      </c>
      <c r="J66" s="51">
        <f>INDEX('Auto Feed'!$H$2:$H$139,MATCH($B66,'Auto Feed'!$A$2:$A$139,0))</f>
        <v/>
      </c>
      <c r="K66" s="32">
        <f>((G66-AVERAGE('Auto Feed'!$E$2:$E$139))/STDEV('Auto Feed'!$E$2:$E$139))+((H66-AVERAGE('Auto Feed'!$F$2:$F$139))/STDEV('Auto Feed'!$F$2:$F$139))+((I66-AVERAGE('Auto Feed'!$G$2:$G$139))/STDEV('Auto Feed'!$G$2:$G$139))-((J66-AVERAGE('Auto Feed'!$H$2:$H$139))/STDEV('Auto Feed'!$H$2:$H$139))</f>
        <v/>
      </c>
      <c r="L66" s="31">
        <f>((E66-AVERAGE('Auto Feed'!$C$2:$C$139))/STDEV('Auto Feed'!$C$2:$C$139))*'Weights &amp; Params'!$B$14</f>
        <v/>
      </c>
      <c r="M66" s="31">
        <f>((F66-AVERAGE('Auto Feed'!$D$2:$D$139))/STDEV('Auto Feed'!$D$2:$D$139))*'Weights &amp; Params'!$B$14</f>
        <v/>
      </c>
      <c r="N66" s="31">
        <f>((K66-AVERAGE($K$2:$K$139))/STDEV($K$2:$K$139))*'Weights &amp; Params'!$B$14</f>
        <v/>
      </c>
      <c r="O66" s="33">
        <f>'Weights &amp; Params'!$B$5*D66+'Weights &amp; Params'!$B$6*L66+'Weights &amp; Params'!$B$7*M66+'Weights &amp; Params'!$B$8*N66+'Weights &amp; Params'!$B$17*S66</f>
        <v/>
      </c>
      <c r="P66" s="54">
        <f>INDEX('Auto Feed'!$I$2:$I$139,MATCH($B66,'Auto Feed'!$A$2:$A$139,0))</f>
        <v/>
      </c>
      <c r="Q66" s="54">
        <f>INDEX('Auto Feed'!$J$2:$J$139,MATCH($B66,'Auto Feed'!$A$2:$A$139,0))</f>
        <v/>
      </c>
      <c r="R66" s="54">
        <f>((P66-AVERAGE('Auto Feed'!$I$2:$I$139))/STDEV('Auto Feed'!$I$2:$I$139))-((Q66-AVERAGE('Auto Feed'!$J$2:$J$139))/STDEV('Auto Feed'!$J$2:$J$139))</f>
        <v/>
      </c>
      <c r="S66" s="54">
        <f>((R66-AVERAGE($R$2:$R$139))/STDEV($R$2:$R$139))*'Weights &amp; Params'!$B$14</f>
        <v/>
      </c>
    </row>
    <row r="67">
      <c r="A67" s="12">
        <f>RANK(O67,$O$2:$O$139,0)</f>
        <v/>
      </c>
      <c r="B67" s="30" t="inlineStr">
        <is>
          <t>Minnesota</t>
        </is>
      </c>
      <c r="C67" s="23">
        <f>INDEX('Auto Feed'!$B$2:$B$139,MATCH($B67,'Auto Feed'!$A$2:$A$139,0))</f>
        <v/>
      </c>
      <c r="D67" s="31">
        <f>INDEX('Weekly Input'!$B$2:$B$139,MATCH($B67,'Weekly Input'!$A$2:$A$139,0))</f>
        <v/>
      </c>
      <c r="E67" s="31">
        <f>INDEX('Auto Feed'!$C$2:$C$139,MATCH($B67,'Auto Feed'!$A$2:$A$139,0))</f>
        <v/>
      </c>
      <c r="F67" s="31">
        <f>INDEX('Auto Feed'!$D$2:$D$139,MATCH($B67,'Auto Feed'!$A$2:$A$139,0))</f>
        <v/>
      </c>
      <c r="G67" s="51">
        <f>INDEX('Auto Feed'!$E$2:$E$139,MATCH($B67,'Auto Feed'!$A$2:$A$139,0))</f>
        <v/>
      </c>
      <c r="H67" s="51">
        <f>INDEX('Auto Feed'!$F$2:$F$139,MATCH($B67,'Auto Feed'!$A$2:$A$139,0))</f>
        <v/>
      </c>
      <c r="I67" s="51">
        <f>INDEX('Auto Feed'!$G$2:$G$139,MATCH($B67,'Auto Feed'!$A$2:$A$139,0))</f>
        <v/>
      </c>
      <c r="J67" s="51">
        <f>INDEX('Auto Feed'!$H$2:$H$139,MATCH($B67,'Auto Feed'!$A$2:$A$139,0))</f>
        <v/>
      </c>
      <c r="K67" s="32">
        <f>((G67-AVERAGE('Auto Feed'!$E$2:$E$139))/STDEV('Auto Feed'!$E$2:$E$139))+((H67-AVERAGE('Auto Feed'!$F$2:$F$139))/STDEV('Auto Feed'!$F$2:$F$139))+((I67-AVERAGE('Auto Feed'!$G$2:$G$139))/STDEV('Auto Feed'!$G$2:$G$139))-((J67-AVERAGE('Auto Feed'!$H$2:$H$139))/STDEV('Auto Feed'!$H$2:$H$139))</f>
        <v/>
      </c>
      <c r="L67" s="31">
        <f>((E67-AVERAGE('Auto Feed'!$C$2:$C$139))/STDEV('Auto Feed'!$C$2:$C$139))*'Weights &amp; Params'!$B$14</f>
        <v/>
      </c>
      <c r="M67" s="31">
        <f>((F67-AVERAGE('Auto Feed'!$D$2:$D$139))/STDEV('Auto Feed'!$D$2:$D$139))*'Weights &amp; Params'!$B$14</f>
        <v/>
      </c>
      <c r="N67" s="31">
        <f>((K67-AVERAGE($K$2:$K$139))/STDEV($K$2:$K$139))*'Weights &amp; Params'!$B$14</f>
        <v/>
      </c>
      <c r="O67" s="33">
        <f>'Weights &amp; Params'!$B$5*D67+'Weights &amp; Params'!$B$6*L67+'Weights &amp; Params'!$B$7*M67+'Weights &amp; Params'!$B$8*N67+'Weights &amp; Params'!$B$17*S67</f>
        <v/>
      </c>
      <c r="P67" s="54">
        <f>INDEX('Auto Feed'!$I$2:$I$139,MATCH($B67,'Auto Feed'!$A$2:$A$139,0))</f>
        <v/>
      </c>
      <c r="Q67" s="54">
        <f>INDEX('Auto Feed'!$J$2:$J$139,MATCH($B67,'Auto Feed'!$A$2:$A$139,0))</f>
        <v/>
      </c>
      <c r="R67" s="54">
        <f>((P67-AVERAGE('Auto Feed'!$I$2:$I$139))/STDEV('Auto Feed'!$I$2:$I$139))-((Q67-AVERAGE('Auto Feed'!$J$2:$J$139))/STDEV('Auto Feed'!$J$2:$J$139))</f>
        <v/>
      </c>
      <c r="S67" s="54">
        <f>((R67-AVERAGE($R$2:$R$139))/STDEV($R$2:$R$139))*'Weights &amp; Params'!$B$14</f>
        <v/>
      </c>
    </row>
    <row r="68">
      <c r="A68" s="12">
        <f>RANK(O68,$O$2:$O$139,0)</f>
        <v/>
      </c>
      <c r="B68" s="30" t="inlineStr">
        <is>
          <t>Mississippi State</t>
        </is>
      </c>
      <c r="C68" s="23">
        <f>INDEX('Auto Feed'!$B$2:$B$139,MATCH($B68,'Auto Feed'!$A$2:$A$139,0))</f>
        <v/>
      </c>
      <c r="D68" s="31">
        <f>INDEX('Weekly Input'!$B$2:$B$139,MATCH($B68,'Weekly Input'!$A$2:$A$139,0))</f>
        <v/>
      </c>
      <c r="E68" s="31">
        <f>INDEX('Auto Feed'!$C$2:$C$139,MATCH($B68,'Auto Feed'!$A$2:$A$139,0))</f>
        <v/>
      </c>
      <c r="F68" s="31">
        <f>INDEX('Auto Feed'!$D$2:$D$139,MATCH($B68,'Auto Feed'!$A$2:$A$139,0))</f>
        <v/>
      </c>
      <c r="G68" s="51">
        <f>INDEX('Auto Feed'!$E$2:$E$139,MATCH($B68,'Auto Feed'!$A$2:$A$139,0))</f>
        <v/>
      </c>
      <c r="H68" s="51">
        <f>INDEX('Auto Feed'!$F$2:$F$139,MATCH($B68,'Auto Feed'!$A$2:$A$139,0))</f>
        <v/>
      </c>
      <c r="I68" s="51">
        <f>INDEX('Auto Feed'!$G$2:$G$139,MATCH($B68,'Auto Feed'!$A$2:$A$139,0))</f>
        <v/>
      </c>
      <c r="J68" s="51">
        <f>INDEX('Auto Feed'!$H$2:$H$139,MATCH($B68,'Auto Feed'!$A$2:$A$139,0))</f>
        <v/>
      </c>
      <c r="K68" s="32">
        <f>((G68-AVERAGE('Auto Feed'!$E$2:$E$139))/STDEV('Auto Feed'!$E$2:$E$139))+((H68-AVERAGE('Auto Feed'!$F$2:$F$139))/STDEV('Auto Feed'!$F$2:$F$139))+((I68-AVERAGE('Auto Feed'!$G$2:$G$139))/STDEV('Auto Feed'!$G$2:$G$139))-((J68-AVERAGE('Auto Feed'!$H$2:$H$139))/STDEV('Auto Feed'!$H$2:$H$139))</f>
        <v/>
      </c>
      <c r="L68" s="31">
        <f>((E68-AVERAGE('Auto Feed'!$C$2:$C$139))/STDEV('Auto Feed'!$C$2:$C$139))*'Weights &amp; Params'!$B$14</f>
        <v/>
      </c>
      <c r="M68" s="31">
        <f>((F68-AVERAGE('Auto Feed'!$D$2:$D$139))/STDEV('Auto Feed'!$D$2:$D$139))*'Weights &amp; Params'!$B$14</f>
        <v/>
      </c>
      <c r="N68" s="31">
        <f>((K68-AVERAGE($K$2:$K$139))/STDEV($K$2:$K$139))*'Weights &amp; Params'!$B$14</f>
        <v/>
      </c>
      <c r="O68" s="33">
        <f>'Weights &amp; Params'!$B$5*D68+'Weights &amp; Params'!$B$6*L68+'Weights &amp; Params'!$B$7*M68+'Weights &amp; Params'!$B$8*N68+'Weights &amp; Params'!$B$17*S68</f>
        <v/>
      </c>
      <c r="P68" s="54">
        <f>INDEX('Auto Feed'!$I$2:$I$139,MATCH($B68,'Auto Feed'!$A$2:$A$139,0))</f>
        <v/>
      </c>
      <c r="Q68" s="54">
        <f>INDEX('Auto Feed'!$J$2:$J$139,MATCH($B68,'Auto Feed'!$A$2:$A$139,0))</f>
        <v/>
      </c>
      <c r="R68" s="54">
        <f>((P68-AVERAGE('Auto Feed'!$I$2:$I$139))/STDEV('Auto Feed'!$I$2:$I$139))-((Q68-AVERAGE('Auto Feed'!$J$2:$J$139))/STDEV('Auto Feed'!$J$2:$J$139))</f>
        <v/>
      </c>
      <c r="S68" s="54">
        <f>((R68-AVERAGE($R$2:$R$139))/STDEV($R$2:$R$139))*'Weights &amp; Params'!$B$14</f>
        <v/>
      </c>
    </row>
    <row r="69">
      <c r="A69" s="12">
        <f>RANK(O69,$O$2:$O$139,0)</f>
        <v/>
      </c>
      <c r="B69" s="30" t="inlineStr">
        <is>
          <t>Missouri</t>
        </is>
      </c>
      <c r="C69" s="23">
        <f>INDEX('Auto Feed'!$B$2:$B$139,MATCH($B69,'Auto Feed'!$A$2:$A$139,0))</f>
        <v/>
      </c>
      <c r="D69" s="31">
        <f>INDEX('Weekly Input'!$B$2:$B$139,MATCH($B69,'Weekly Input'!$A$2:$A$139,0))</f>
        <v/>
      </c>
      <c r="E69" s="31">
        <f>INDEX('Auto Feed'!$C$2:$C$139,MATCH($B69,'Auto Feed'!$A$2:$A$139,0))</f>
        <v/>
      </c>
      <c r="F69" s="31">
        <f>INDEX('Auto Feed'!$D$2:$D$139,MATCH($B69,'Auto Feed'!$A$2:$A$139,0))</f>
        <v/>
      </c>
      <c r="G69" s="51">
        <f>INDEX('Auto Feed'!$E$2:$E$139,MATCH($B69,'Auto Feed'!$A$2:$A$139,0))</f>
        <v/>
      </c>
      <c r="H69" s="51">
        <f>INDEX('Auto Feed'!$F$2:$F$139,MATCH($B69,'Auto Feed'!$A$2:$A$139,0))</f>
        <v/>
      </c>
      <c r="I69" s="51">
        <f>INDEX('Auto Feed'!$G$2:$G$139,MATCH($B69,'Auto Feed'!$A$2:$A$139,0))</f>
        <v/>
      </c>
      <c r="J69" s="51">
        <f>INDEX('Auto Feed'!$H$2:$H$139,MATCH($B69,'Auto Feed'!$A$2:$A$139,0))</f>
        <v/>
      </c>
      <c r="K69" s="32">
        <f>((G69-AVERAGE('Auto Feed'!$E$2:$E$139))/STDEV('Auto Feed'!$E$2:$E$139))+((H69-AVERAGE('Auto Feed'!$F$2:$F$139))/STDEV('Auto Feed'!$F$2:$F$139))+((I69-AVERAGE('Auto Feed'!$G$2:$G$139))/STDEV('Auto Feed'!$G$2:$G$139))-((J69-AVERAGE('Auto Feed'!$H$2:$H$139))/STDEV('Auto Feed'!$H$2:$H$139))</f>
        <v/>
      </c>
      <c r="L69" s="31">
        <f>((E69-AVERAGE('Auto Feed'!$C$2:$C$139))/STDEV('Auto Feed'!$C$2:$C$139))*'Weights &amp; Params'!$B$14</f>
        <v/>
      </c>
      <c r="M69" s="31">
        <f>((F69-AVERAGE('Auto Feed'!$D$2:$D$139))/STDEV('Auto Feed'!$D$2:$D$139))*'Weights &amp; Params'!$B$14</f>
        <v/>
      </c>
      <c r="N69" s="31">
        <f>((K69-AVERAGE($K$2:$K$139))/STDEV($K$2:$K$139))*'Weights &amp; Params'!$B$14</f>
        <v/>
      </c>
      <c r="O69" s="33">
        <f>'Weights &amp; Params'!$B$5*D69+'Weights &amp; Params'!$B$6*L69+'Weights &amp; Params'!$B$7*M69+'Weights &amp; Params'!$B$8*N69+'Weights &amp; Params'!$B$17*S69</f>
        <v/>
      </c>
      <c r="P69" s="54">
        <f>INDEX('Auto Feed'!$I$2:$I$139,MATCH($B69,'Auto Feed'!$A$2:$A$139,0))</f>
        <v/>
      </c>
      <c r="Q69" s="54">
        <f>INDEX('Auto Feed'!$J$2:$J$139,MATCH($B69,'Auto Feed'!$A$2:$A$139,0))</f>
        <v/>
      </c>
      <c r="R69" s="54">
        <f>((P69-AVERAGE('Auto Feed'!$I$2:$I$139))/STDEV('Auto Feed'!$I$2:$I$139))-((Q69-AVERAGE('Auto Feed'!$J$2:$J$139))/STDEV('Auto Feed'!$J$2:$J$139))</f>
        <v/>
      </c>
      <c r="S69" s="54">
        <f>((R69-AVERAGE($R$2:$R$139))/STDEV($R$2:$R$139))*'Weights &amp; Params'!$B$14</f>
        <v/>
      </c>
    </row>
    <row r="70">
      <c r="A70" s="12">
        <f>RANK(O70,$O$2:$O$139,0)</f>
        <v/>
      </c>
      <c r="B70" s="30" t="inlineStr">
        <is>
          <t>Missouri State</t>
        </is>
      </c>
      <c r="C70" s="23">
        <f>INDEX('Auto Feed'!$B$2:$B$139,MATCH($B70,'Auto Feed'!$A$2:$A$139,0))</f>
        <v/>
      </c>
      <c r="D70" s="31">
        <f>INDEX('Weekly Input'!$B$2:$B$139,MATCH($B70,'Weekly Input'!$A$2:$A$139,0))</f>
        <v/>
      </c>
      <c r="E70" s="31">
        <f>INDEX('Auto Feed'!$C$2:$C$139,MATCH($B70,'Auto Feed'!$A$2:$A$139,0))</f>
        <v/>
      </c>
      <c r="F70" s="31">
        <f>INDEX('Auto Feed'!$D$2:$D$139,MATCH($B70,'Auto Feed'!$A$2:$A$139,0))</f>
        <v/>
      </c>
      <c r="G70" s="51">
        <f>INDEX('Auto Feed'!$E$2:$E$139,MATCH($B70,'Auto Feed'!$A$2:$A$139,0))</f>
        <v/>
      </c>
      <c r="H70" s="51">
        <f>INDEX('Auto Feed'!$F$2:$F$139,MATCH($B70,'Auto Feed'!$A$2:$A$139,0))</f>
        <v/>
      </c>
      <c r="I70" s="51">
        <f>INDEX('Auto Feed'!$G$2:$G$139,MATCH($B70,'Auto Feed'!$A$2:$A$139,0))</f>
        <v/>
      </c>
      <c r="J70" s="51">
        <f>INDEX('Auto Feed'!$H$2:$H$139,MATCH($B70,'Auto Feed'!$A$2:$A$139,0))</f>
        <v/>
      </c>
      <c r="K70" s="32">
        <f>((G70-AVERAGE('Auto Feed'!$E$2:$E$139))/STDEV('Auto Feed'!$E$2:$E$139))+((H70-AVERAGE('Auto Feed'!$F$2:$F$139))/STDEV('Auto Feed'!$F$2:$F$139))+((I70-AVERAGE('Auto Feed'!$G$2:$G$139))/STDEV('Auto Feed'!$G$2:$G$139))-((J70-AVERAGE('Auto Feed'!$H$2:$H$139))/STDEV('Auto Feed'!$H$2:$H$139))</f>
        <v/>
      </c>
      <c r="L70" s="31">
        <f>((E70-AVERAGE('Auto Feed'!$C$2:$C$139))/STDEV('Auto Feed'!$C$2:$C$139))*'Weights &amp; Params'!$B$14</f>
        <v/>
      </c>
      <c r="M70" s="31">
        <f>((F70-AVERAGE('Auto Feed'!$D$2:$D$139))/STDEV('Auto Feed'!$D$2:$D$139))*'Weights &amp; Params'!$B$14</f>
        <v/>
      </c>
      <c r="N70" s="31">
        <f>((K70-AVERAGE($K$2:$K$139))/STDEV($K$2:$K$139))*'Weights &amp; Params'!$B$14</f>
        <v/>
      </c>
      <c r="O70" s="33">
        <f>'Weights &amp; Params'!$B$5*D70+'Weights &amp; Params'!$B$6*L70+'Weights &amp; Params'!$B$7*M70+'Weights &amp; Params'!$B$8*N70+'Weights &amp; Params'!$B$17*S70</f>
        <v/>
      </c>
      <c r="P70" s="54">
        <f>INDEX('Auto Feed'!$I$2:$I$139,MATCH($B70,'Auto Feed'!$A$2:$A$139,0))</f>
        <v/>
      </c>
      <c r="Q70" s="54">
        <f>INDEX('Auto Feed'!$J$2:$J$139,MATCH($B70,'Auto Feed'!$A$2:$A$139,0))</f>
        <v/>
      </c>
      <c r="R70" s="54">
        <f>((P70-AVERAGE('Auto Feed'!$I$2:$I$139))/STDEV('Auto Feed'!$I$2:$I$139))-((Q70-AVERAGE('Auto Feed'!$J$2:$J$139))/STDEV('Auto Feed'!$J$2:$J$139))</f>
        <v/>
      </c>
      <c r="S70" s="54">
        <f>((R70-AVERAGE($R$2:$R$139))/STDEV($R$2:$R$139))*'Weights &amp; Params'!$B$14</f>
        <v/>
      </c>
    </row>
    <row r="71">
      <c r="A71" s="12">
        <f>RANK(O71,$O$2:$O$139,0)</f>
        <v/>
      </c>
      <c r="B71" s="30" t="inlineStr">
        <is>
          <t>NC State</t>
        </is>
      </c>
      <c r="C71" s="23">
        <f>INDEX('Auto Feed'!$B$2:$B$139,MATCH($B71,'Auto Feed'!$A$2:$A$139,0))</f>
        <v/>
      </c>
      <c r="D71" s="31">
        <f>INDEX('Weekly Input'!$B$2:$B$139,MATCH($B71,'Weekly Input'!$A$2:$A$139,0))</f>
        <v/>
      </c>
      <c r="E71" s="31">
        <f>INDEX('Auto Feed'!$C$2:$C$139,MATCH($B71,'Auto Feed'!$A$2:$A$139,0))</f>
        <v/>
      </c>
      <c r="F71" s="31">
        <f>INDEX('Auto Feed'!$D$2:$D$139,MATCH($B71,'Auto Feed'!$A$2:$A$139,0))</f>
        <v/>
      </c>
      <c r="G71" s="51">
        <f>INDEX('Auto Feed'!$E$2:$E$139,MATCH($B71,'Auto Feed'!$A$2:$A$139,0))</f>
        <v/>
      </c>
      <c r="H71" s="51">
        <f>INDEX('Auto Feed'!$F$2:$F$139,MATCH($B71,'Auto Feed'!$A$2:$A$139,0))</f>
        <v/>
      </c>
      <c r="I71" s="51">
        <f>INDEX('Auto Feed'!$G$2:$G$139,MATCH($B71,'Auto Feed'!$A$2:$A$139,0))</f>
        <v/>
      </c>
      <c r="J71" s="51">
        <f>INDEX('Auto Feed'!$H$2:$H$139,MATCH($B71,'Auto Feed'!$A$2:$A$139,0))</f>
        <v/>
      </c>
      <c r="K71" s="32">
        <f>((G71-AVERAGE('Auto Feed'!$E$2:$E$139))/STDEV('Auto Feed'!$E$2:$E$139))+((H71-AVERAGE('Auto Feed'!$F$2:$F$139))/STDEV('Auto Feed'!$F$2:$F$139))+((I71-AVERAGE('Auto Feed'!$G$2:$G$139))/STDEV('Auto Feed'!$G$2:$G$139))-((J71-AVERAGE('Auto Feed'!$H$2:$H$139))/STDEV('Auto Feed'!$H$2:$H$139))</f>
        <v/>
      </c>
      <c r="L71" s="31">
        <f>((E71-AVERAGE('Auto Feed'!$C$2:$C$139))/STDEV('Auto Feed'!$C$2:$C$139))*'Weights &amp; Params'!$B$14</f>
        <v/>
      </c>
      <c r="M71" s="31">
        <f>((F71-AVERAGE('Auto Feed'!$D$2:$D$139))/STDEV('Auto Feed'!$D$2:$D$139))*'Weights &amp; Params'!$B$14</f>
        <v/>
      </c>
      <c r="N71" s="31">
        <f>((K71-AVERAGE($K$2:$K$139))/STDEV($K$2:$K$139))*'Weights &amp; Params'!$B$14</f>
        <v/>
      </c>
      <c r="O71" s="33">
        <f>'Weights &amp; Params'!$B$5*D71+'Weights &amp; Params'!$B$6*L71+'Weights &amp; Params'!$B$7*M71+'Weights &amp; Params'!$B$8*N71+'Weights &amp; Params'!$B$17*S71</f>
        <v/>
      </c>
      <c r="P71" s="54">
        <f>INDEX('Auto Feed'!$I$2:$I$139,MATCH($B71,'Auto Feed'!$A$2:$A$139,0))</f>
        <v/>
      </c>
      <c r="Q71" s="54">
        <f>INDEX('Auto Feed'!$J$2:$J$139,MATCH($B71,'Auto Feed'!$A$2:$A$139,0))</f>
        <v/>
      </c>
      <c r="R71" s="54">
        <f>((P71-AVERAGE('Auto Feed'!$I$2:$I$139))/STDEV('Auto Feed'!$I$2:$I$139))-((Q71-AVERAGE('Auto Feed'!$J$2:$J$139))/STDEV('Auto Feed'!$J$2:$J$139))</f>
        <v/>
      </c>
      <c r="S71" s="54">
        <f>((R71-AVERAGE($R$2:$R$139))/STDEV($R$2:$R$139))*'Weights &amp; Params'!$B$14</f>
        <v/>
      </c>
    </row>
    <row r="72">
      <c r="A72" s="12">
        <f>RANK(O72,$O$2:$O$139,0)</f>
        <v/>
      </c>
      <c r="B72" s="30" t="inlineStr">
        <is>
          <t>Navy</t>
        </is>
      </c>
      <c r="C72" s="23">
        <f>INDEX('Auto Feed'!$B$2:$B$139,MATCH($B72,'Auto Feed'!$A$2:$A$139,0))</f>
        <v/>
      </c>
      <c r="D72" s="31">
        <f>INDEX('Weekly Input'!$B$2:$B$139,MATCH($B72,'Weekly Input'!$A$2:$A$139,0))</f>
        <v/>
      </c>
      <c r="E72" s="31">
        <f>INDEX('Auto Feed'!$C$2:$C$139,MATCH($B72,'Auto Feed'!$A$2:$A$139,0))</f>
        <v/>
      </c>
      <c r="F72" s="31">
        <f>INDEX('Auto Feed'!$D$2:$D$139,MATCH($B72,'Auto Feed'!$A$2:$A$139,0))</f>
        <v/>
      </c>
      <c r="G72" s="51">
        <f>INDEX('Auto Feed'!$E$2:$E$139,MATCH($B72,'Auto Feed'!$A$2:$A$139,0))</f>
        <v/>
      </c>
      <c r="H72" s="51">
        <f>INDEX('Auto Feed'!$F$2:$F$139,MATCH($B72,'Auto Feed'!$A$2:$A$139,0))</f>
        <v/>
      </c>
      <c r="I72" s="51">
        <f>INDEX('Auto Feed'!$G$2:$G$139,MATCH($B72,'Auto Feed'!$A$2:$A$139,0))</f>
        <v/>
      </c>
      <c r="J72" s="51">
        <f>INDEX('Auto Feed'!$H$2:$H$139,MATCH($B72,'Auto Feed'!$A$2:$A$139,0))</f>
        <v/>
      </c>
      <c r="K72" s="32">
        <f>((G72-AVERAGE('Auto Feed'!$E$2:$E$139))/STDEV('Auto Feed'!$E$2:$E$139))+((H72-AVERAGE('Auto Feed'!$F$2:$F$139))/STDEV('Auto Feed'!$F$2:$F$139))+((I72-AVERAGE('Auto Feed'!$G$2:$G$139))/STDEV('Auto Feed'!$G$2:$G$139))-((J72-AVERAGE('Auto Feed'!$H$2:$H$139))/STDEV('Auto Feed'!$H$2:$H$139))</f>
        <v/>
      </c>
      <c r="L72" s="31">
        <f>((E72-AVERAGE('Auto Feed'!$C$2:$C$139))/STDEV('Auto Feed'!$C$2:$C$139))*'Weights &amp; Params'!$B$14</f>
        <v/>
      </c>
      <c r="M72" s="31">
        <f>((F72-AVERAGE('Auto Feed'!$D$2:$D$139))/STDEV('Auto Feed'!$D$2:$D$139))*'Weights &amp; Params'!$B$14</f>
        <v/>
      </c>
      <c r="N72" s="31">
        <f>((K72-AVERAGE($K$2:$K$139))/STDEV($K$2:$K$139))*'Weights &amp; Params'!$B$14</f>
        <v/>
      </c>
      <c r="O72" s="33">
        <f>'Weights &amp; Params'!$B$5*D72+'Weights &amp; Params'!$B$6*L72+'Weights &amp; Params'!$B$7*M72+'Weights &amp; Params'!$B$8*N72+'Weights &amp; Params'!$B$17*S72</f>
        <v/>
      </c>
      <c r="P72" s="54">
        <f>INDEX('Auto Feed'!$I$2:$I$139,MATCH($B72,'Auto Feed'!$A$2:$A$139,0))</f>
        <v/>
      </c>
      <c r="Q72" s="54">
        <f>INDEX('Auto Feed'!$J$2:$J$139,MATCH($B72,'Auto Feed'!$A$2:$A$139,0))</f>
        <v/>
      </c>
      <c r="R72" s="54">
        <f>((P72-AVERAGE('Auto Feed'!$I$2:$I$139))/STDEV('Auto Feed'!$I$2:$I$139))-((Q72-AVERAGE('Auto Feed'!$J$2:$J$139))/STDEV('Auto Feed'!$J$2:$J$139))</f>
        <v/>
      </c>
      <c r="S72" s="54">
        <f>((R72-AVERAGE($R$2:$R$139))/STDEV($R$2:$R$139))*'Weights &amp; Params'!$B$14</f>
        <v/>
      </c>
    </row>
    <row r="73">
      <c r="A73" s="12">
        <f>RANK(O73,$O$2:$O$139,0)</f>
        <v/>
      </c>
      <c r="B73" s="30" t="inlineStr">
        <is>
          <t>Nebraska</t>
        </is>
      </c>
      <c r="C73" s="23">
        <f>INDEX('Auto Feed'!$B$2:$B$139,MATCH($B73,'Auto Feed'!$A$2:$A$139,0))</f>
        <v/>
      </c>
      <c r="D73" s="31">
        <f>INDEX('Weekly Input'!$B$2:$B$139,MATCH($B73,'Weekly Input'!$A$2:$A$139,0))</f>
        <v/>
      </c>
      <c r="E73" s="31">
        <f>INDEX('Auto Feed'!$C$2:$C$139,MATCH($B73,'Auto Feed'!$A$2:$A$139,0))</f>
        <v/>
      </c>
      <c r="F73" s="31">
        <f>INDEX('Auto Feed'!$D$2:$D$139,MATCH($B73,'Auto Feed'!$A$2:$A$139,0))</f>
        <v/>
      </c>
      <c r="G73" s="51">
        <f>INDEX('Auto Feed'!$E$2:$E$139,MATCH($B73,'Auto Feed'!$A$2:$A$139,0))</f>
        <v/>
      </c>
      <c r="H73" s="51">
        <f>INDEX('Auto Feed'!$F$2:$F$139,MATCH($B73,'Auto Feed'!$A$2:$A$139,0))</f>
        <v/>
      </c>
      <c r="I73" s="51">
        <f>INDEX('Auto Feed'!$G$2:$G$139,MATCH($B73,'Auto Feed'!$A$2:$A$139,0))</f>
        <v/>
      </c>
      <c r="J73" s="51">
        <f>INDEX('Auto Feed'!$H$2:$H$139,MATCH($B73,'Auto Feed'!$A$2:$A$139,0))</f>
        <v/>
      </c>
      <c r="K73" s="32">
        <f>((G73-AVERAGE('Auto Feed'!$E$2:$E$139))/STDEV('Auto Feed'!$E$2:$E$139))+((H73-AVERAGE('Auto Feed'!$F$2:$F$139))/STDEV('Auto Feed'!$F$2:$F$139))+((I73-AVERAGE('Auto Feed'!$G$2:$G$139))/STDEV('Auto Feed'!$G$2:$G$139))-((J73-AVERAGE('Auto Feed'!$H$2:$H$139))/STDEV('Auto Feed'!$H$2:$H$139))</f>
        <v/>
      </c>
      <c r="L73" s="31">
        <f>((E73-AVERAGE('Auto Feed'!$C$2:$C$139))/STDEV('Auto Feed'!$C$2:$C$139))*'Weights &amp; Params'!$B$14</f>
        <v/>
      </c>
      <c r="M73" s="31">
        <f>((F73-AVERAGE('Auto Feed'!$D$2:$D$139))/STDEV('Auto Feed'!$D$2:$D$139))*'Weights &amp; Params'!$B$14</f>
        <v/>
      </c>
      <c r="N73" s="31">
        <f>((K73-AVERAGE($K$2:$K$139))/STDEV($K$2:$K$139))*'Weights &amp; Params'!$B$14</f>
        <v/>
      </c>
      <c r="O73" s="33">
        <f>'Weights &amp; Params'!$B$5*D73+'Weights &amp; Params'!$B$6*L73+'Weights &amp; Params'!$B$7*M73+'Weights &amp; Params'!$B$8*N73+'Weights &amp; Params'!$B$17*S73</f>
        <v/>
      </c>
      <c r="P73" s="54">
        <f>INDEX('Auto Feed'!$I$2:$I$139,MATCH($B73,'Auto Feed'!$A$2:$A$139,0))</f>
        <v/>
      </c>
      <c r="Q73" s="54">
        <f>INDEX('Auto Feed'!$J$2:$J$139,MATCH($B73,'Auto Feed'!$A$2:$A$139,0))</f>
        <v/>
      </c>
      <c r="R73" s="54">
        <f>((P73-AVERAGE('Auto Feed'!$I$2:$I$139))/STDEV('Auto Feed'!$I$2:$I$139))-((Q73-AVERAGE('Auto Feed'!$J$2:$J$139))/STDEV('Auto Feed'!$J$2:$J$139))</f>
        <v/>
      </c>
      <c r="S73" s="54">
        <f>((R73-AVERAGE($R$2:$R$139))/STDEV($R$2:$R$139))*'Weights &amp; Params'!$B$14</f>
        <v/>
      </c>
    </row>
    <row r="74">
      <c r="A74" s="12">
        <f>RANK(O74,$O$2:$O$139,0)</f>
        <v/>
      </c>
      <c r="B74" s="30" t="inlineStr">
        <is>
          <t>Nevada</t>
        </is>
      </c>
      <c r="C74" s="23">
        <f>INDEX('Auto Feed'!$B$2:$B$139,MATCH($B74,'Auto Feed'!$A$2:$A$139,0))</f>
        <v/>
      </c>
      <c r="D74" s="31">
        <f>INDEX('Weekly Input'!$B$2:$B$139,MATCH($B74,'Weekly Input'!$A$2:$A$139,0))</f>
        <v/>
      </c>
      <c r="E74" s="31">
        <f>INDEX('Auto Feed'!$C$2:$C$139,MATCH($B74,'Auto Feed'!$A$2:$A$139,0))</f>
        <v/>
      </c>
      <c r="F74" s="31">
        <f>INDEX('Auto Feed'!$D$2:$D$139,MATCH($B74,'Auto Feed'!$A$2:$A$139,0))</f>
        <v/>
      </c>
      <c r="G74" s="51">
        <f>INDEX('Auto Feed'!$E$2:$E$139,MATCH($B74,'Auto Feed'!$A$2:$A$139,0))</f>
        <v/>
      </c>
      <c r="H74" s="51">
        <f>INDEX('Auto Feed'!$F$2:$F$139,MATCH($B74,'Auto Feed'!$A$2:$A$139,0))</f>
        <v/>
      </c>
      <c r="I74" s="51">
        <f>INDEX('Auto Feed'!$G$2:$G$139,MATCH($B74,'Auto Feed'!$A$2:$A$139,0))</f>
        <v/>
      </c>
      <c r="J74" s="51">
        <f>INDEX('Auto Feed'!$H$2:$H$139,MATCH($B74,'Auto Feed'!$A$2:$A$139,0))</f>
        <v/>
      </c>
      <c r="K74" s="32">
        <f>((G74-AVERAGE('Auto Feed'!$E$2:$E$139))/STDEV('Auto Feed'!$E$2:$E$139))+((H74-AVERAGE('Auto Feed'!$F$2:$F$139))/STDEV('Auto Feed'!$F$2:$F$139))+((I74-AVERAGE('Auto Feed'!$G$2:$G$139))/STDEV('Auto Feed'!$G$2:$G$139))-((J74-AVERAGE('Auto Feed'!$H$2:$H$139))/STDEV('Auto Feed'!$H$2:$H$139))</f>
        <v/>
      </c>
      <c r="L74" s="31">
        <f>((E74-AVERAGE('Auto Feed'!$C$2:$C$139))/STDEV('Auto Feed'!$C$2:$C$139))*'Weights &amp; Params'!$B$14</f>
        <v/>
      </c>
      <c r="M74" s="31">
        <f>((F74-AVERAGE('Auto Feed'!$D$2:$D$139))/STDEV('Auto Feed'!$D$2:$D$139))*'Weights &amp; Params'!$B$14</f>
        <v/>
      </c>
      <c r="N74" s="31">
        <f>((K74-AVERAGE($K$2:$K$139))/STDEV($K$2:$K$139))*'Weights &amp; Params'!$B$14</f>
        <v/>
      </c>
      <c r="O74" s="33">
        <f>'Weights &amp; Params'!$B$5*D74+'Weights &amp; Params'!$B$6*L74+'Weights &amp; Params'!$B$7*M74+'Weights &amp; Params'!$B$8*N74+'Weights &amp; Params'!$B$17*S74</f>
        <v/>
      </c>
      <c r="P74" s="54">
        <f>INDEX('Auto Feed'!$I$2:$I$139,MATCH($B74,'Auto Feed'!$A$2:$A$139,0))</f>
        <v/>
      </c>
      <c r="Q74" s="54">
        <f>INDEX('Auto Feed'!$J$2:$J$139,MATCH($B74,'Auto Feed'!$A$2:$A$139,0))</f>
        <v/>
      </c>
      <c r="R74" s="54">
        <f>((P74-AVERAGE('Auto Feed'!$I$2:$I$139))/STDEV('Auto Feed'!$I$2:$I$139))-((Q74-AVERAGE('Auto Feed'!$J$2:$J$139))/STDEV('Auto Feed'!$J$2:$J$139))</f>
        <v/>
      </c>
      <c r="S74" s="54">
        <f>((R74-AVERAGE($R$2:$R$139))/STDEV($R$2:$R$139))*'Weights &amp; Params'!$B$14</f>
        <v/>
      </c>
    </row>
    <row r="75">
      <c r="A75" s="12">
        <f>RANK(O75,$O$2:$O$139,0)</f>
        <v/>
      </c>
      <c r="B75" s="30" t="inlineStr">
        <is>
          <t>New Mexico</t>
        </is>
      </c>
      <c r="C75" s="23">
        <f>INDEX('Auto Feed'!$B$2:$B$139,MATCH($B75,'Auto Feed'!$A$2:$A$139,0))</f>
        <v/>
      </c>
      <c r="D75" s="31">
        <f>INDEX('Weekly Input'!$B$2:$B$139,MATCH($B75,'Weekly Input'!$A$2:$A$139,0))</f>
        <v/>
      </c>
      <c r="E75" s="31">
        <f>INDEX('Auto Feed'!$C$2:$C$139,MATCH($B75,'Auto Feed'!$A$2:$A$139,0))</f>
        <v/>
      </c>
      <c r="F75" s="31">
        <f>INDEX('Auto Feed'!$D$2:$D$139,MATCH($B75,'Auto Feed'!$A$2:$A$139,0))</f>
        <v/>
      </c>
      <c r="G75" s="51">
        <f>INDEX('Auto Feed'!$E$2:$E$139,MATCH($B75,'Auto Feed'!$A$2:$A$139,0))</f>
        <v/>
      </c>
      <c r="H75" s="51">
        <f>INDEX('Auto Feed'!$F$2:$F$139,MATCH($B75,'Auto Feed'!$A$2:$A$139,0))</f>
        <v/>
      </c>
      <c r="I75" s="51">
        <f>INDEX('Auto Feed'!$G$2:$G$139,MATCH($B75,'Auto Feed'!$A$2:$A$139,0))</f>
        <v/>
      </c>
      <c r="J75" s="51">
        <f>INDEX('Auto Feed'!$H$2:$H$139,MATCH($B75,'Auto Feed'!$A$2:$A$139,0))</f>
        <v/>
      </c>
      <c r="K75" s="32">
        <f>((G75-AVERAGE('Auto Feed'!$E$2:$E$139))/STDEV('Auto Feed'!$E$2:$E$139))+((H75-AVERAGE('Auto Feed'!$F$2:$F$139))/STDEV('Auto Feed'!$F$2:$F$139))+((I75-AVERAGE('Auto Feed'!$G$2:$G$139))/STDEV('Auto Feed'!$G$2:$G$139))-((J75-AVERAGE('Auto Feed'!$H$2:$H$139))/STDEV('Auto Feed'!$H$2:$H$139))</f>
        <v/>
      </c>
      <c r="L75" s="31">
        <f>((E75-AVERAGE('Auto Feed'!$C$2:$C$139))/STDEV('Auto Feed'!$C$2:$C$139))*'Weights &amp; Params'!$B$14</f>
        <v/>
      </c>
      <c r="M75" s="31">
        <f>((F75-AVERAGE('Auto Feed'!$D$2:$D$139))/STDEV('Auto Feed'!$D$2:$D$139))*'Weights &amp; Params'!$B$14</f>
        <v/>
      </c>
      <c r="N75" s="31">
        <f>((K75-AVERAGE($K$2:$K$139))/STDEV($K$2:$K$139))*'Weights &amp; Params'!$B$14</f>
        <v/>
      </c>
      <c r="O75" s="33">
        <f>'Weights &amp; Params'!$B$5*D75+'Weights &amp; Params'!$B$6*L75+'Weights &amp; Params'!$B$7*M75+'Weights &amp; Params'!$B$8*N75+'Weights &amp; Params'!$B$17*S75</f>
        <v/>
      </c>
      <c r="P75" s="54">
        <f>INDEX('Auto Feed'!$I$2:$I$139,MATCH($B75,'Auto Feed'!$A$2:$A$139,0))</f>
        <v/>
      </c>
      <c r="Q75" s="54">
        <f>INDEX('Auto Feed'!$J$2:$J$139,MATCH($B75,'Auto Feed'!$A$2:$A$139,0))</f>
        <v/>
      </c>
      <c r="R75" s="54">
        <f>((P75-AVERAGE('Auto Feed'!$I$2:$I$139))/STDEV('Auto Feed'!$I$2:$I$139))-((Q75-AVERAGE('Auto Feed'!$J$2:$J$139))/STDEV('Auto Feed'!$J$2:$J$139))</f>
        <v/>
      </c>
      <c r="S75" s="54">
        <f>((R75-AVERAGE($R$2:$R$139))/STDEV($R$2:$R$139))*'Weights &amp; Params'!$B$14</f>
        <v/>
      </c>
    </row>
    <row r="76">
      <c r="A76" s="12">
        <f>RANK(O76,$O$2:$O$139,0)</f>
        <v/>
      </c>
      <c r="B76" s="30" t="inlineStr">
        <is>
          <t>New Mexico State</t>
        </is>
      </c>
      <c r="C76" s="23">
        <f>INDEX('Auto Feed'!$B$2:$B$139,MATCH($B76,'Auto Feed'!$A$2:$A$139,0))</f>
        <v/>
      </c>
      <c r="D76" s="31">
        <f>INDEX('Weekly Input'!$B$2:$B$139,MATCH($B76,'Weekly Input'!$A$2:$A$139,0))</f>
        <v/>
      </c>
      <c r="E76" s="31">
        <f>INDEX('Auto Feed'!$C$2:$C$139,MATCH($B76,'Auto Feed'!$A$2:$A$139,0))</f>
        <v/>
      </c>
      <c r="F76" s="31">
        <f>INDEX('Auto Feed'!$D$2:$D$139,MATCH($B76,'Auto Feed'!$A$2:$A$139,0))</f>
        <v/>
      </c>
      <c r="G76" s="51">
        <f>INDEX('Auto Feed'!$E$2:$E$139,MATCH($B76,'Auto Feed'!$A$2:$A$139,0))</f>
        <v/>
      </c>
      <c r="H76" s="51">
        <f>INDEX('Auto Feed'!$F$2:$F$139,MATCH($B76,'Auto Feed'!$A$2:$A$139,0))</f>
        <v/>
      </c>
      <c r="I76" s="51">
        <f>INDEX('Auto Feed'!$G$2:$G$139,MATCH($B76,'Auto Feed'!$A$2:$A$139,0))</f>
        <v/>
      </c>
      <c r="J76" s="51">
        <f>INDEX('Auto Feed'!$H$2:$H$139,MATCH($B76,'Auto Feed'!$A$2:$A$139,0))</f>
        <v/>
      </c>
      <c r="K76" s="32">
        <f>((G76-AVERAGE('Auto Feed'!$E$2:$E$139))/STDEV('Auto Feed'!$E$2:$E$139))+((H76-AVERAGE('Auto Feed'!$F$2:$F$139))/STDEV('Auto Feed'!$F$2:$F$139))+((I76-AVERAGE('Auto Feed'!$G$2:$G$139))/STDEV('Auto Feed'!$G$2:$G$139))-((J76-AVERAGE('Auto Feed'!$H$2:$H$139))/STDEV('Auto Feed'!$H$2:$H$139))</f>
        <v/>
      </c>
      <c r="L76" s="31">
        <f>((E76-AVERAGE('Auto Feed'!$C$2:$C$139))/STDEV('Auto Feed'!$C$2:$C$139))*'Weights &amp; Params'!$B$14</f>
        <v/>
      </c>
      <c r="M76" s="31">
        <f>((F76-AVERAGE('Auto Feed'!$D$2:$D$139))/STDEV('Auto Feed'!$D$2:$D$139))*'Weights &amp; Params'!$B$14</f>
        <v/>
      </c>
      <c r="N76" s="31">
        <f>((K76-AVERAGE($K$2:$K$139))/STDEV($K$2:$K$139))*'Weights &amp; Params'!$B$14</f>
        <v/>
      </c>
      <c r="O76" s="33">
        <f>'Weights &amp; Params'!$B$5*D76+'Weights &amp; Params'!$B$6*L76+'Weights &amp; Params'!$B$7*M76+'Weights &amp; Params'!$B$8*N76+'Weights &amp; Params'!$B$17*S76</f>
        <v/>
      </c>
      <c r="P76" s="54">
        <f>INDEX('Auto Feed'!$I$2:$I$139,MATCH($B76,'Auto Feed'!$A$2:$A$139,0))</f>
        <v/>
      </c>
      <c r="Q76" s="54">
        <f>INDEX('Auto Feed'!$J$2:$J$139,MATCH($B76,'Auto Feed'!$A$2:$A$139,0))</f>
        <v/>
      </c>
      <c r="R76" s="54">
        <f>((P76-AVERAGE('Auto Feed'!$I$2:$I$139))/STDEV('Auto Feed'!$I$2:$I$139))-((Q76-AVERAGE('Auto Feed'!$J$2:$J$139))/STDEV('Auto Feed'!$J$2:$J$139))</f>
        <v/>
      </c>
      <c r="S76" s="54">
        <f>((R76-AVERAGE($R$2:$R$139))/STDEV($R$2:$R$139))*'Weights &amp; Params'!$B$14</f>
        <v/>
      </c>
    </row>
    <row r="77">
      <c r="A77" s="12">
        <f>RANK(O77,$O$2:$O$139,0)</f>
        <v/>
      </c>
      <c r="B77" s="30" t="inlineStr">
        <is>
          <t>North Carolina</t>
        </is>
      </c>
      <c r="C77" s="23">
        <f>INDEX('Auto Feed'!$B$2:$B$139,MATCH($B77,'Auto Feed'!$A$2:$A$139,0))</f>
        <v/>
      </c>
      <c r="D77" s="31">
        <f>INDEX('Weekly Input'!$B$2:$B$139,MATCH($B77,'Weekly Input'!$A$2:$A$139,0))</f>
        <v/>
      </c>
      <c r="E77" s="31">
        <f>INDEX('Auto Feed'!$C$2:$C$139,MATCH($B77,'Auto Feed'!$A$2:$A$139,0))</f>
        <v/>
      </c>
      <c r="F77" s="31">
        <f>INDEX('Auto Feed'!$D$2:$D$139,MATCH($B77,'Auto Feed'!$A$2:$A$139,0))</f>
        <v/>
      </c>
      <c r="G77" s="51">
        <f>INDEX('Auto Feed'!$E$2:$E$139,MATCH($B77,'Auto Feed'!$A$2:$A$139,0))</f>
        <v/>
      </c>
      <c r="H77" s="51">
        <f>INDEX('Auto Feed'!$F$2:$F$139,MATCH($B77,'Auto Feed'!$A$2:$A$139,0))</f>
        <v/>
      </c>
      <c r="I77" s="51">
        <f>INDEX('Auto Feed'!$G$2:$G$139,MATCH($B77,'Auto Feed'!$A$2:$A$139,0))</f>
        <v/>
      </c>
      <c r="J77" s="51">
        <f>INDEX('Auto Feed'!$H$2:$H$139,MATCH($B77,'Auto Feed'!$A$2:$A$139,0))</f>
        <v/>
      </c>
      <c r="K77" s="32">
        <f>((G77-AVERAGE('Auto Feed'!$E$2:$E$139))/STDEV('Auto Feed'!$E$2:$E$139))+((H77-AVERAGE('Auto Feed'!$F$2:$F$139))/STDEV('Auto Feed'!$F$2:$F$139))+((I77-AVERAGE('Auto Feed'!$G$2:$G$139))/STDEV('Auto Feed'!$G$2:$G$139))-((J77-AVERAGE('Auto Feed'!$H$2:$H$139))/STDEV('Auto Feed'!$H$2:$H$139))</f>
        <v/>
      </c>
      <c r="L77" s="31">
        <f>((E77-AVERAGE('Auto Feed'!$C$2:$C$139))/STDEV('Auto Feed'!$C$2:$C$139))*'Weights &amp; Params'!$B$14</f>
        <v/>
      </c>
      <c r="M77" s="31">
        <f>((F77-AVERAGE('Auto Feed'!$D$2:$D$139))/STDEV('Auto Feed'!$D$2:$D$139))*'Weights &amp; Params'!$B$14</f>
        <v/>
      </c>
      <c r="N77" s="31">
        <f>((K77-AVERAGE($K$2:$K$139))/STDEV($K$2:$K$139))*'Weights &amp; Params'!$B$14</f>
        <v/>
      </c>
      <c r="O77" s="33">
        <f>'Weights &amp; Params'!$B$5*D77+'Weights &amp; Params'!$B$6*L77+'Weights &amp; Params'!$B$7*M77+'Weights &amp; Params'!$B$8*N77+'Weights &amp; Params'!$B$17*S77</f>
        <v/>
      </c>
      <c r="P77" s="54">
        <f>INDEX('Auto Feed'!$I$2:$I$139,MATCH($B77,'Auto Feed'!$A$2:$A$139,0))</f>
        <v/>
      </c>
      <c r="Q77" s="54">
        <f>INDEX('Auto Feed'!$J$2:$J$139,MATCH($B77,'Auto Feed'!$A$2:$A$139,0))</f>
        <v/>
      </c>
      <c r="R77" s="54">
        <f>((P77-AVERAGE('Auto Feed'!$I$2:$I$139))/STDEV('Auto Feed'!$I$2:$I$139))-((Q77-AVERAGE('Auto Feed'!$J$2:$J$139))/STDEV('Auto Feed'!$J$2:$J$139))</f>
        <v/>
      </c>
      <c r="S77" s="54">
        <f>((R77-AVERAGE($R$2:$R$139))/STDEV($R$2:$R$139))*'Weights &amp; Params'!$B$14</f>
        <v/>
      </c>
    </row>
    <row r="78">
      <c r="A78" s="12">
        <f>RANK(O78,$O$2:$O$139,0)</f>
        <v/>
      </c>
      <c r="B78" s="30" t="inlineStr">
        <is>
          <t>North Texas</t>
        </is>
      </c>
      <c r="C78" s="23">
        <f>INDEX('Auto Feed'!$B$2:$B$139,MATCH($B78,'Auto Feed'!$A$2:$A$139,0))</f>
        <v/>
      </c>
      <c r="D78" s="31">
        <f>INDEX('Weekly Input'!$B$2:$B$139,MATCH($B78,'Weekly Input'!$A$2:$A$139,0))</f>
        <v/>
      </c>
      <c r="E78" s="31">
        <f>INDEX('Auto Feed'!$C$2:$C$139,MATCH($B78,'Auto Feed'!$A$2:$A$139,0))</f>
        <v/>
      </c>
      <c r="F78" s="31">
        <f>INDEX('Auto Feed'!$D$2:$D$139,MATCH($B78,'Auto Feed'!$A$2:$A$139,0))</f>
        <v/>
      </c>
      <c r="G78" s="51">
        <f>INDEX('Auto Feed'!$E$2:$E$139,MATCH($B78,'Auto Feed'!$A$2:$A$139,0))</f>
        <v/>
      </c>
      <c r="H78" s="51">
        <f>INDEX('Auto Feed'!$F$2:$F$139,MATCH($B78,'Auto Feed'!$A$2:$A$139,0))</f>
        <v/>
      </c>
      <c r="I78" s="51">
        <f>INDEX('Auto Feed'!$G$2:$G$139,MATCH($B78,'Auto Feed'!$A$2:$A$139,0))</f>
        <v/>
      </c>
      <c r="J78" s="51">
        <f>INDEX('Auto Feed'!$H$2:$H$139,MATCH($B78,'Auto Feed'!$A$2:$A$139,0))</f>
        <v/>
      </c>
      <c r="K78" s="32">
        <f>((G78-AVERAGE('Auto Feed'!$E$2:$E$139))/STDEV('Auto Feed'!$E$2:$E$139))+((H78-AVERAGE('Auto Feed'!$F$2:$F$139))/STDEV('Auto Feed'!$F$2:$F$139))+((I78-AVERAGE('Auto Feed'!$G$2:$G$139))/STDEV('Auto Feed'!$G$2:$G$139))-((J78-AVERAGE('Auto Feed'!$H$2:$H$139))/STDEV('Auto Feed'!$H$2:$H$139))</f>
        <v/>
      </c>
      <c r="L78" s="31">
        <f>((E78-AVERAGE('Auto Feed'!$C$2:$C$139))/STDEV('Auto Feed'!$C$2:$C$139))*'Weights &amp; Params'!$B$14</f>
        <v/>
      </c>
      <c r="M78" s="31">
        <f>((F78-AVERAGE('Auto Feed'!$D$2:$D$139))/STDEV('Auto Feed'!$D$2:$D$139))*'Weights &amp; Params'!$B$14</f>
        <v/>
      </c>
      <c r="N78" s="31">
        <f>((K78-AVERAGE($K$2:$K$139))/STDEV($K$2:$K$139))*'Weights &amp; Params'!$B$14</f>
        <v/>
      </c>
      <c r="O78" s="33">
        <f>'Weights &amp; Params'!$B$5*D78+'Weights &amp; Params'!$B$6*L78+'Weights &amp; Params'!$B$7*M78+'Weights &amp; Params'!$B$8*N78+'Weights &amp; Params'!$B$17*S78</f>
        <v/>
      </c>
      <c r="P78" s="54">
        <f>INDEX('Auto Feed'!$I$2:$I$139,MATCH($B78,'Auto Feed'!$A$2:$A$139,0))</f>
        <v/>
      </c>
      <c r="Q78" s="54">
        <f>INDEX('Auto Feed'!$J$2:$J$139,MATCH($B78,'Auto Feed'!$A$2:$A$139,0))</f>
        <v/>
      </c>
      <c r="R78" s="54">
        <f>((P78-AVERAGE('Auto Feed'!$I$2:$I$139))/STDEV('Auto Feed'!$I$2:$I$139))-((Q78-AVERAGE('Auto Feed'!$J$2:$J$139))/STDEV('Auto Feed'!$J$2:$J$139))</f>
        <v/>
      </c>
      <c r="S78" s="54">
        <f>((R78-AVERAGE($R$2:$R$139))/STDEV($R$2:$R$139))*'Weights &amp; Params'!$B$14</f>
        <v/>
      </c>
    </row>
    <row r="79">
      <c r="A79" s="12">
        <f>RANK(O79,$O$2:$O$139,0)</f>
        <v/>
      </c>
      <c r="B79" s="30" t="inlineStr">
        <is>
          <t>Northern Illinois</t>
        </is>
      </c>
      <c r="C79" s="23">
        <f>INDEX('Auto Feed'!$B$2:$B$139,MATCH($B79,'Auto Feed'!$A$2:$A$139,0))</f>
        <v/>
      </c>
      <c r="D79" s="31">
        <f>INDEX('Weekly Input'!$B$2:$B$139,MATCH($B79,'Weekly Input'!$A$2:$A$139,0))</f>
        <v/>
      </c>
      <c r="E79" s="31">
        <f>INDEX('Auto Feed'!$C$2:$C$139,MATCH($B79,'Auto Feed'!$A$2:$A$139,0))</f>
        <v/>
      </c>
      <c r="F79" s="31">
        <f>INDEX('Auto Feed'!$D$2:$D$139,MATCH($B79,'Auto Feed'!$A$2:$A$139,0))</f>
        <v/>
      </c>
      <c r="G79" s="51">
        <f>INDEX('Auto Feed'!$E$2:$E$139,MATCH($B79,'Auto Feed'!$A$2:$A$139,0))</f>
        <v/>
      </c>
      <c r="H79" s="51">
        <f>INDEX('Auto Feed'!$F$2:$F$139,MATCH($B79,'Auto Feed'!$A$2:$A$139,0))</f>
        <v/>
      </c>
      <c r="I79" s="51">
        <f>INDEX('Auto Feed'!$G$2:$G$139,MATCH($B79,'Auto Feed'!$A$2:$A$139,0))</f>
        <v/>
      </c>
      <c r="J79" s="51">
        <f>INDEX('Auto Feed'!$H$2:$H$139,MATCH($B79,'Auto Feed'!$A$2:$A$139,0))</f>
        <v/>
      </c>
      <c r="K79" s="32">
        <f>((G79-AVERAGE('Auto Feed'!$E$2:$E$139))/STDEV('Auto Feed'!$E$2:$E$139))+((H79-AVERAGE('Auto Feed'!$F$2:$F$139))/STDEV('Auto Feed'!$F$2:$F$139))+((I79-AVERAGE('Auto Feed'!$G$2:$G$139))/STDEV('Auto Feed'!$G$2:$G$139))-((J79-AVERAGE('Auto Feed'!$H$2:$H$139))/STDEV('Auto Feed'!$H$2:$H$139))</f>
        <v/>
      </c>
      <c r="L79" s="31">
        <f>((E79-AVERAGE('Auto Feed'!$C$2:$C$139))/STDEV('Auto Feed'!$C$2:$C$139))*'Weights &amp; Params'!$B$14</f>
        <v/>
      </c>
      <c r="M79" s="31">
        <f>((F79-AVERAGE('Auto Feed'!$D$2:$D$139))/STDEV('Auto Feed'!$D$2:$D$139))*'Weights &amp; Params'!$B$14</f>
        <v/>
      </c>
      <c r="N79" s="31">
        <f>((K79-AVERAGE($K$2:$K$139))/STDEV($K$2:$K$139))*'Weights &amp; Params'!$B$14</f>
        <v/>
      </c>
      <c r="O79" s="33">
        <f>'Weights &amp; Params'!$B$5*D79+'Weights &amp; Params'!$B$6*L79+'Weights &amp; Params'!$B$7*M79+'Weights &amp; Params'!$B$8*N79+'Weights &amp; Params'!$B$17*S79</f>
        <v/>
      </c>
      <c r="P79" s="54">
        <f>INDEX('Auto Feed'!$I$2:$I$139,MATCH($B79,'Auto Feed'!$A$2:$A$139,0))</f>
        <v/>
      </c>
      <c r="Q79" s="54">
        <f>INDEX('Auto Feed'!$J$2:$J$139,MATCH($B79,'Auto Feed'!$A$2:$A$139,0))</f>
        <v/>
      </c>
      <c r="R79" s="54">
        <f>((P79-AVERAGE('Auto Feed'!$I$2:$I$139))/STDEV('Auto Feed'!$I$2:$I$139))-((Q79-AVERAGE('Auto Feed'!$J$2:$J$139))/STDEV('Auto Feed'!$J$2:$J$139))</f>
        <v/>
      </c>
      <c r="S79" s="54">
        <f>((R79-AVERAGE($R$2:$R$139))/STDEV($R$2:$R$139))*'Weights &amp; Params'!$B$14</f>
        <v/>
      </c>
    </row>
    <row r="80">
      <c r="A80" s="12">
        <f>RANK(O80,$O$2:$O$139,0)</f>
        <v/>
      </c>
      <c r="B80" s="30" t="inlineStr">
        <is>
          <t>Northwestern</t>
        </is>
      </c>
      <c r="C80" s="23">
        <f>INDEX('Auto Feed'!$B$2:$B$139,MATCH($B80,'Auto Feed'!$A$2:$A$139,0))</f>
        <v/>
      </c>
      <c r="D80" s="31">
        <f>INDEX('Weekly Input'!$B$2:$B$139,MATCH($B80,'Weekly Input'!$A$2:$A$139,0))</f>
        <v/>
      </c>
      <c r="E80" s="31">
        <f>INDEX('Auto Feed'!$C$2:$C$139,MATCH($B80,'Auto Feed'!$A$2:$A$139,0))</f>
        <v/>
      </c>
      <c r="F80" s="31">
        <f>INDEX('Auto Feed'!$D$2:$D$139,MATCH($B80,'Auto Feed'!$A$2:$A$139,0))</f>
        <v/>
      </c>
      <c r="G80" s="51">
        <f>INDEX('Auto Feed'!$E$2:$E$139,MATCH($B80,'Auto Feed'!$A$2:$A$139,0))</f>
        <v/>
      </c>
      <c r="H80" s="51">
        <f>INDEX('Auto Feed'!$F$2:$F$139,MATCH($B80,'Auto Feed'!$A$2:$A$139,0))</f>
        <v/>
      </c>
      <c r="I80" s="51">
        <f>INDEX('Auto Feed'!$G$2:$G$139,MATCH($B80,'Auto Feed'!$A$2:$A$139,0))</f>
        <v/>
      </c>
      <c r="J80" s="51">
        <f>INDEX('Auto Feed'!$H$2:$H$139,MATCH($B80,'Auto Feed'!$A$2:$A$139,0))</f>
        <v/>
      </c>
      <c r="K80" s="32">
        <f>((G80-AVERAGE('Auto Feed'!$E$2:$E$139))/STDEV('Auto Feed'!$E$2:$E$139))+((H80-AVERAGE('Auto Feed'!$F$2:$F$139))/STDEV('Auto Feed'!$F$2:$F$139))+((I80-AVERAGE('Auto Feed'!$G$2:$G$139))/STDEV('Auto Feed'!$G$2:$G$139))-((J80-AVERAGE('Auto Feed'!$H$2:$H$139))/STDEV('Auto Feed'!$H$2:$H$139))</f>
        <v/>
      </c>
      <c r="L80" s="31">
        <f>((E80-AVERAGE('Auto Feed'!$C$2:$C$139))/STDEV('Auto Feed'!$C$2:$C$139))*'Weights &amp; Params'!$B$14</f>
        <v/>
      </c>
      <c r="M80" s="31">
        <f>((F80-AVERAGE('Auto Feed'!$D$2:$D$139))/STDEV('Auto Feed'!$D$2:$D$139))*'Weights &amp; Params'!$B$14</f>
        <v/>
      </c>
      <c r="N80" s="31">
        <f>((K80-AVERAGE($K$2:$K$139))/STDEV($K$2:$K$139))*'Weights &amp; Params'!$B$14</f>
        <v/>
      </c>
      <c r="O80" s="33">
        <f>'Weights &amp; Params'!$B$5*D80+'Weights &amp; Params'!$B$6*L80+'Weights &amp; Params'!$B$7*M80+'Weights &amp; Params'!$B$8*N80+'Weights &amp; Params'!$B$17*S80</f>
        <v/>
      </c>
      <c r="P80" s="54">
        <f>INDEX('Auto Feed'!$I$2:$I$139,MATCH($B80,'Auto Feed'!$A$2:$A$139,0))</f>
        <v/>
      </c>
      <c r="Q80" s="54">
        <f>INDEX('Auto Feed'!$J$2:$J$139,MATCH($B80,'Auto Feed'!$A$2:$A$139,0))</f>
        <v/>
      </c>
      <c r="R80" s="54">
        <f>((P80-AVERAGE('Auto Feed'!$I$2:$I$139))/STDEV('Auto Feed'!$I$2:$I$139))-((Q80-AVERAGE('Auto Feed'!$J$2:$J$139))/STDEV('Auto Feed'!$J$2:$J$139))</f>
        <v/>
      </c>
      <c r="S80" s="54">
        <f>((R80-AVERAGE($R$2:$R$139))/STDEV($R$2:$R$139))*'Weights &amp; Params'!$B$14</f>
        <v/>
      </c>
    </row>
    <row r="81">
      <c r="A81" s="12">
        <f>RANK(O81,$O$2:$O$139,0)</f>
        <v/>
      </c>
      <c r="B81" s="30" t="inlineStr">
        <is>
          <t>Notre Dame</t>
        </is>
      </c>
      <c r="C81" s="23">
        <f>INDEX('Auto Feed'!$B$2:$B$139,MATCH($B81,'Auto Feed'!$A$2:$A$139,0))</f>
        <v/>
      </c>
      <c r="D81" s="31">
        <f>INDEX('Weekly Input'!$B$2:$B$139,MATCH($B81,'Weekly Input'!$A$2:$A$139,0))</f>
        <v/>
      </c>
      <c r="E81" s="31">
        <f>INDEX('Auto Feed'!$C$2:$C$139,MATCH($B81,'Auto Feed'!$A$2:$A$139,0))</f>
        <v/>
      </c>
      <c r="F81" s="31">
        <f>INDEX('Auto Feed'!$D$2:$D$139,MATCH($B81,'Auto Feed'!$A$2:$A$139,0))</f>
        <v/>
      </c>
      <c r="G81" s="51">
        <f>INDEX('Auto Feed'!$E$2:$E$139,MATCH($B81,'Auto Feed'!$A$2:$A$139,0))</f>
        <v/>
      </c>
      <c r="H81" s="51">
        <f>INDEX('Auto Feed'!$F$2:$F$139,MATCH($B81,'Auto Feed'!$A$2:$A$139,0))</f>
        <v/>
      </c>
      <c r="I81" s="51">
        <f>INDEX('Auto Feed'!$G$2:$G$139,MATCH($B81,'Auto Feed'!$A$2:$A$139,0))</f>
        <v/>
      </c>
      <c r="J81" s="51">
        <f>INDEX('Auto Feed'!$H$2:$H$139,MATCH($B81,'Auto Feed'!$A$2:$A$139,0))</f>
        <v/>
      </c>
      <c r="K81" s="32">
        <f>((G81-AVERAGE('Auto Feed'!$E$2:$E$139))/STDEV('Auto Feed'!$E$2:$E$139))+((H81-AVERAGE('Auto Feed'!$F$2:$F$139))/STDEV('Auto Feed'!$F$2:$F$139))+((I81-AVERAGE('Auto Feed'!$G$2:$G$139))/STDEV('Auto Feed'!$G$2:$G$139))-((J81-AVERAGE('Auto Feed'!$H$2:$H$139))/STDEV('Auto Feed'!$H$2:$H$139))</f>
        <v/>
      </c>
      <c r="L81" s="31">
        <f>((E81-AVERAGE('Auto Feed'!$C$2:$C$139))/STDEV('Auto Feed'!$C$2:$C$139))*'Weights &amp; Params'!$B$14</f>
        <v/>
      </c>
      <c r="M81" s="31">
        <f>((F81-AVERAGE('Auto Feed'!$D$2:$D$139))/STDEV('Auto Feed'!$D$2:$D$139))*'Weights &amp; Params'!$B$14</f>
        <v/>
      </c>
      <c r="N81" s="31">
        <f>((K81-AVERAGE($K$2:$K$139))/STDEV($K$2:$K$139))*'Weights &amp; Params'!$B$14</f>
        <v/>
      </c>
      <c r="O81" s="33">
        <f>'Weights &amp; Params'!$B$5*D81+'Weights &amp; Params'!$B$6*L81+'Weights &amp; Params'!$B$7*M81+'Weights &amp; Params'!$B$8*N81+'Weights &amp; Params'!$B$17*S81</f>
        <v/>
      </c>
      <c r="P81" s="54">
        <f>INDEX('Auto Feed'!$I$2:$I$139,MATCH($B81,'Auto Feed'!$A$2:$A$139,0))</f>
        <v/>
      </c>
      <c r="Q81" s="54">
        <f>INDEX('Auto Feed'!$J$2:$J$139,MATCH($B81,'Auto Feed'!$A$2:$A$139,0))</f>
        <v/>
      </c>
      <c r="R81" s="54">
        <f>((P81-AVERAGE('Auto Feed'!$I$2:$I$139))/STDEV('Auto Feed'!$I$2:$I$139))-((Q81-AVERAGE('Auto Feed'!$J$2:$J$139))/STDEV('Auto Feed'!$J$2:$J$139))</f>
        <v/>
      </c>
      <c r="S81" s="54">
        <f>((R81-AVERAGE($R$2:$R$139))/STDEV($R$2:$R$139))*'Weights &amp; Params'!$B$14</f>
        <v/>
      </c>
    </row>
    <row r="82">
      <c r="A82" s="12">
        <f>RANK(O82,$O$2:$O$139,0)</f>
        <v/>
      </c>
      <c r="B82" s="30" t="inlineStr">
        <is>
          <t>Ohio</t>
        </is>
      </c>
      <c r="C82" s="23">
        <f>INDEX('Auto Feed'!$B$2:$B$139,MATCH($B82,'Auto Feed'!$A$2:$A$139,0))</f>
        <v/>
      </c>
      <c r="D82" s="31">
        <f>INDEX('Weekly Input'!$B$2:$B$139,MATCH($B82,'Weekly Input'!$A$2:$A$139,0))</f>
        <v/>
      </c>
      <c r="E82" s="31">
        <f>INDEX('Auto Feed'!$C$2:$C$139,MATCH($B82,'Auto Feed'!$A$2:$A$139,0))</f>
        <v/>
      </c>
      <c r="F82" s="31">
        <f>INDEX('Auto Feed'!$D$2:$D$139,MATCH($B82,'Auto Feed'!$A$2:$A$139,0))</f>
        <v/>
      </c>
      <c r="G82" s="51">
        <f>INDEX('Auto Feed'!$E$2:$E$139,MATCH($B82,'Auto Feed'!$A$2:$A$139,0))</f>
        <v/>
      </c>
      <c r="H82" s="51">
        <f>INDEX('Auto Feed'!$F$2:$F$139,MATCH($B82,'Auto Feed'!$A$2:$A$139,0))</f>
        <v/>
      </c>
      <c r="I82" s="51">
        <f>INDEX('Auto Feed'!$G$2:$G$139,MATCH($B82,'Auto Feed'!$A$2:$A$139,0))</f>
        <v/>
      </c>
      <c r="J82" s="51">
        <f>INDEX('Auto Feed'!$H$2:$H$139,MATCH($B82,'Auto Feed'!$A$2:$A$139,0))</f>
        <v/>
      </c>
      <c r="K82" s="32">
        <f>((G82-AVERAGE('Auto Feed'!$E$2:$E$139))/STDEV('Auto Feed'!$E$2:$E$139))+((H82-AVERAGE('Auto Feed'!$F$2:$F$139))/STDEV('Auto Feed'!$F$2:$F$139))+((I82-AVERAGE('Auto Feed'!$G$2:$G$139))/STDEV('Auto Feed'!$G$2:$G$139))-((J82-AVERAGE('Auto Feed'!$H$2:$H$139))/STDEV('Auto Feed'!$H$2:$H$139))</f>
        <v/>
      </c>
      <c r="L82" s="31">
        <f>((E82-AVERAGE('Auto Feed'!$C$2:$C$139))/STDEV('Auto Feed'!$C$2:$C$139))*'Weights &amp; Params'!$B$14</f>
        <v/>
      </c>
      <c r="M82" s="31">
        <f>((F82-AVERAGE('Auto Feed'!$D$2:$D$139))/STDEV('Auto Feed'!$D$2:$D$139))*'Weights &amp; Params'!$B$14</f>
        <v/>
      </c>
      <c r="N82" s="31">
        <f>((K82-AVERAGE($K$2:$K$139))/STDEV($K$2:$K$139))*'Weights &amp; Params'!$B$14</f>
        <v/>
      </c>
      <c r="O82" s="33">
        <f>'Weights &amp; Params'!$B$5*D82+'Weights &amp; Params'!$B$6*L82+'Weights &amp; Params'!$B$7*M82+'Weights &amp; Params'!$B$8*N82+'Weights &amp; Params'!$B$17*S82</f>
        <v/>
      </c>
      <c r="P82" s="54">
        <f>INDEX('Auto Feed'!$I$2:$I$139,MATCH($B82,'Auto Feed'!$A$2:$A$139,0))</f>
        <v/>
      </c>
      <c r="Q82" s="54">
        <f>INDEX('Auto Feed'!$J$2:$J$139,MATCH($B82,'Auto Feed'!$A$2:$A$139,0))</f>
        <v/>
      </c>
      <c r="R82" s="54">
        <f>((P82-AVERAGE('Auto Feed'!$I$2:$I$139))/STDEV('Auto Feed'!$I$2:$I$139))-((Q82-AVERAGE('Auto Feed'!$J$2:$J$139))/STDEV('Auto Feed'!$J$2:$J$139))</f>
        <v/>
      </c>
      <c r="S82" s="54">
        <f>((R82-AVERAGE($R$2:$R$139))/STDEV($R$2:$R$139))*'Weights &amp; Params'!$B$14</f>
        <v/>
      </c>
    </row>
    <row r="83">
      <c r="A83" s="12">
        <f>RANK(O83,$O$2:$O$139,0)</f>
        <v/>
      </c>
      <c r="B83" s="30" t="inlineStr">
        <is>
          <t>Ohio State</t>
        </is>
      </c>
      <c r="C83" s="23">
        <f>INDEX('Auto Feed'!$B$2:$B$139,MATCH($B83,'Auto Feed'!$A$2:$A$139,0))</f>
        <v/>
      </c>
      <c r="D83" s="31">
        <f>INDEX('Weekly Input'!$B$2:$B$139,MATCH($B83,'Weekly Input'!$A$2:$A$139,0))</f>
        <v/>
      </c>
      <c r="E83" s="31">
        <f>INDEX('Auto Feed'!$C$2:$C$139,MATCH($B83,'Auto Feed'!$A$2:$A$139,0))</f>
        <v/>
      </c>
      <c r="F83" s="31">
        <f>INDEX('Auto Feed'!$D$2:$D$139,MATCH($B83,'Auto Feed'!$A$2:$A$139,0))</f>
        <v/>
      </c>
      <c r="G83" s="51">
        <f>INDEX('Auto Feed'!$E$2:$E$139,MATCH($B83,'Auto Feed'!$A$2:$A$139,0))</f>
        <v/>
      </c>
      <c r="H83" s="51">
        <f>INDEX('Auto Feed'!$F$2:$F$139,MATCH($B83,'Auto Feed'!$A$2:$A$139,0))</f>
        <v/>
      </c>
      <c r="I83" s="51">
        <f>INDEX('Auto Feed'!$G$2:$G$139,MATCH($B83,'Auto Feed'!$A$2:$A$139,0))</f>
        <v/>
      </c>
      <c r="J83" s="51">
        <f>INDEX('Auto Feed'!$H$2:$H$139,MATCH($B83,'Auto Feed'!$A$2:$A$139,0))</f>
        <v/>
      </c>
      <c r="K83" s="32">
        <f>((G83-AVERAGE('Auto Feed'!$E$2:$E$139))/STDEV('Auto Feed'!$E$2:$E$139))+((H83-AVERAGE('Auto Feed'!$F$2:$F$139))/STDEV('Auto Feed'!$F$2:$F$139))+((I83-AVERAGE('Auto Feed'!$G$2:$G$139))/STDEV('Auto Feed'!$G$2:$G$139))-((J83-AVERAGE('Auto Feed'!$H$2:$H$139))/STDEV('Auto Feed'!$H$2:$H$139))</f>
        <v/>
      </c>
      <c r="L83" s="31">
        <f>((E83-AVERAGE('Auto Feed'!$C$2:$C$139))/STDEV('Auto Feed'!$C$2:$C$139))*'Weights &amp; Params'!$B$14</f>
        <v/>
      </c>
      <c r="M83" s="31">
        <f>((F83-AVERAGE('Auto Feed'!$D$2:$D$139))/STDEV('Auto Feed'!$D$2:$D$139))*'Weights &amp; Params'!$B$14</f>
        <v/>
      </c>
      <c r="N83" s="31">
        <f>((K83-AVERAGE($K$2:$K$139))/STDEV($K$2:$K$139))*'Weights &amp; Params'!$B$14</f>
        <v/>
      </c>
      <c r="O83" s="33">
        <f>'Weights &amp; Params'!$B$5*D83+'Weights &amp; Params'!$B$6*L83+'Weights &amp; Params'!$B$7*M83+'Weights &amp; Params'!$B$8*N83+'Weights &amp; Params'!$B$17*S83</f>
        <v/>
      </c>
      <c r="P83" s="54">
        <f>INDEX('Auto Feed'!$I$2:$I$139,MATCH($B83,'Auto Feed'!$A$2:$A$139,0))</f>
        <v/>
      </c>
      <c r="Q83" s="54">
        <f>INDEX('Auto Feed'!$J$2:$J$139,MATCH($B83,'Auto Feed'!$A$2:$A$139,0))</f>
        <v/>
      </c>
      <c r="R83" s="54">
        <f>((P83-AVERAGE('Auto Feed'!$I$2:$I$139))/STDEV('Auto Feed'!$I$2:$I$139))-((Q83-AVERAGE('Auto Feed'!$J$2:$J$139))/STDEV('Auto Feed'!$J$2:$J$139))</f>
        <v/>
      </c>
      <c r="S83" s="54">
        <f>((R83-AVERAGE($R$2:$R$139))/STDEV($R$2:$R$139))*'Weights &amp; Params'!$B$14</f>
        <v/>
      </c>
    </row>
    <row r="84">
      <c r="A84" s="12">
        <f>RANK(O84,$O$2:$O$139,0)</f>
        <v/>
      </c>
      <c r="B84" s="30" t="inlineStr">
        <is>
          <t>Oklahoma</t>
        </is>
      </c>
      <c r="C84" s="23">
        <f>INDEX('Auto Feed'!$B$2:$B$139,MATCH($B84,'Auto Feed'!$A$2:$A$139,0))</f>
        <v/>
      </c>
      <c r="D84" s="31">
        <f>INDEX('Weekly Input'!$B$2:$B$139,MATCH($B84,'Weekly Input'!$A$2:$A$139,0))</f>
        <v/>
      </c>
      <c r="E84" s="31">
        <f>INDEX('Auto Feed'!$C$2:$C$139,MATCH($B84,'Auto Feed'!$A$2:$A$139,0))</f>
        <v/>
      </c>
      <c r="F84" s="31">
        <f>INDEX('Auto Feed'!$D$2:$D$139,MATCH($B84,'Auto Feed'!$A$2:$A$139,0))</f>
        <v/>
      </c>
      <c r="G84" s="51">
        <f>INDEX('Auto Feed'!$E$2:$E$139,MATCH($B84,'Auto Feed'!$A$2:$A$139,0))</f>
        <v/>
      </c>
      <c r="H84" s="51">
        <f>INDEX('Auto Feed'!$F$2:$F$139,MATCH($B84,'Auto Feed'!$A$2:$A$139,0))</f>
        <v/>
      </c>
      <c r="I84" s="51">
        <f>INDEX('Auto Feed'!$G$2:$G$139,MATCH($B84,'Auto Feed'!$A$2:$A$139,0))</f>
        <v/>
      </c>
      <c r="J84" s="51">
        <f>INDEX('Auto Feed'!$H$2:$H$139,MATCH($B84,'Auto Feed'!$A$2:$A$139,0))</f>
        <v/>
      </c>
      <c r="K84" s="32">
        <f>((G84-AVERAGE('Auto Feed'!$E$2:$E$139))/STDEV('Auto Feed'!$E$2:$E$139))+((H84-AVERAGE('Auto Feed'!$F$2:$F$139))/STDEV('Auto Feed'!$F$2:$F$139))+((I84-AVERAGE('Auto Feed'!$G$2:$G$139))/STDEV('Auto Feed'!$G$2:$G$139))-((J84-AVERAGE('Auto Feed'!$H$2:$H$139))/STDEV('Auto Feed'!$H$2:$H$139))</f>
        <v/>
      </c>
      <c r="L84" s="31">
        <f>((E84-AVERAGE('Auto Feed'!$C$2:$C$139))/STDEV('Auto Feed'!$C$2:$C$139))*'Weights &amp; Params'!$B$14</f>
        <v/>
      </c>
      <c r="M84" s="31">
        <f>((F84-AVERAGE('Auto Feed'!$D$2:$D$139))/STDEV('Auto Feed'!$D$2:$D$139))*'Weights &amp; Params'!$B$14</f>
        <v/>
      </c>
      <c r="N84" s="31">
        <f>((K84-AVERAGE($K$2:$K$139))/STDEV($K$2:$K$139))*'Weights &amp; Params'!$B$14</f>
        <v/>
      </c>
      <c r="O84" s="33">
        <f>'Weights &amp; Params'!$B$5*D84+'Weights &amp; Params'!$B$6*L84+'Weights &amp; Params'!$B$7*M84+'Weights &amp; Params'!$B$8*N84+'Weights &amp; Params'!$B$17*S84</f>
        <v/>
      </c>
      <c r="P84" s="54">
        <f>INDEX('Auto Feed'!$I$2:$I$139,MATCH($B84,'Auto Feed'!$A$2:$A$139,0))</f>
        <v/>
      </c>
      <c r="Q84" s="54">
        <f>INDEX('Auto Feed'!$J$2:$J$139,MATCH($B84,'Auto Feed'!$A$2:$A$139,0))</f>
        <v/>
      </c>
      <c r="R84" s="54">
        <f>((P84-AVERAGE('Auto Feed'!$I$2:$I$139))/STDEV('Auto Feed'!$I$2:$I$139))-((Q84-AVERAGE('Auto Feed'!$J$2:$J$139))/STDEV('Auto Feed'!$J$2:$J$139))</f>
        <v/>
      </c>
      <c r="S84" s="54">
        <f>((R84-AVERAGE($R$2:$R$139))/STDEV($R$2:$R$139))*'Weights &amp; Params'!$B$14</f>
        <v/>
      </c>
    </row>
    <row r="85">
      <c r="A85" s="12">
        <f>RANK(O85,$O$2:$O$139,0)</f>
        <v/>
      </c>
      <c r="B85" s="30" t="inlineStr">
        <is>
          <t>Oklahoma State</t>
        </is>
      </c>
      <c r="C85" s="23">
        <f>INDEX('Auto Feed'!$B$2:$B$139,MATCH($B85,'Auto Feed'!$A$2:$A$139,0))</f>
        <v/>
      </c>
      <c r="D85" s="31">
        <f>INDEX('Weekly Input'!$B$2:$B$139,MATCH($B85,'Weekly Input'!$A$2:$A$139,0))</f>
        <v/>
      </c>
      <c r="E85" s="31">
        <f>INDEX('Auto Feed'!$C$2:$C$139,MATCH($B85,'Auto Feed'!$A$2:$A$139,0))</f>
        <v/>
      </c>
      <c r="F85" s="31">
        <f>INDEX('Auto Feed'!$D$2:$D$139,MATCH($B85,'Auto Feed'!$A$2:$A$139,0))</f>
        <v/>
      </c>
      <c r="G85" s="51">
        <f>INDEX('Auto Feed'!$E$2:$E$139,MATCH($B85,'Auto Feed'!$A$2:$A$139,0))</f>
        <v/>
      </c>
      <c r="H85" s="51">
        <f>INDEX('Auto Feed'!$F$2:$F$139,MATCH($B85,'Auto Feed'!$A$2:$A$139,0))</f>
        <v/>
      </c>
      <c r="I85" s="51">
        <f>INDEX('Auto Feed'!$G$2:$G$139,MATCH($B85,'Auto Feed'!$A$2:$A$139,0))</f>
        <v/>
      </c>
      <c r="J85" s="51">
        <f>INDEX('Auto Feed'!$H$2:$H$139,MATCH($B85,'Auto Feed'!$A$2:$A$139,0))</f>
        <v/>
      </c>
      <c r="K85" s="32">
        <f>((G85-AVERAGE('Auto Feed'!$E$2:$E$139))/STDEV('Auto Feed'!$E$2:$E$139))+((H85-AVERAGE('Auto Feed'!$F$2:$F$139))/STDEV('Auto Feed'!$F$2:$F$139))+((I85-AVERAGE('Auto Feed'!$G$2:$G$139))/STDEV('Auto Feed'!$G$2:$G$139))-((J85-AVERAGE('Auto Feed'!$H$2:$H$139))/STDEV('Auto Feed'!$H$2:$H$139))</f>
        <v/>
      </c>
      <c r="L85" s="31">
        <f>((E85-AVERAGE('Auto Feed'!$C$2:$C$139))/STDEV('Auto Feed'!$C$2:$C$139))*'Weights &amp; Params'!$B$14</f>
        <v/>
      </c>
      <c r="M85" s="31">
        <f>((F85-AVERAGE('Auto Feed'!$D$2:$D$139))/STDEV('Auto Feed'!$D$2:$D$139))*'Weights &amp; Params'!$B$14</f>
        <v/>
      </c>
      <c r="N85" s="31">
        <f>((K85-AVERAGE($K$2:$K$139))/STDEV($K$2:$K$139))*'Weights &amp; Params'!$B$14</f>
        <v/>
      </c>
      <c r="O85" s="33">
        <f>'Weights &amp; Params'!$B$5*D85+'Weights &amp; Params'!$B$6*L85+'Weights &amp; Params'!$B$7*M85+'Weights &amp; Params'!$B$8*N85+'Weights &amp; Params'!$B$17*S85</f>
        <v/>
      </c>
      <c r="P85" s="54">
        <f>INDEX('Auto Feed'!$I$2:$I$139,MATCH($B85,'Auto Feed'!$A$2:$A$139,0))</f>
        <v/>
      </c>
      <c r="Q85" s="54">
        <f>INDEX('Auto Feed'!$J$2:$J$139,MATCH($B85,'Auto Feed'!$A$2:$A$139,0))</f>
        <v/>
      </c>
      <c r="R85" s="54">
        <f>((P85-AVERAGE('Auto Feed'!$I$2:$I$139))/STDEV('Auto Feed'!$I$2:$I$139))-((Q85-AVERAGE('Auto Feed'!$J$2:$J$139))/STDEV('Auto Feed'!$J$2:$J$139))</f>
        <v/>
      </c>
      <c r="S85" s="54">
        <f>((R85-AVERAGE($R$2:$R$139))/STDEV($R$2:$R$139))*'Weights &amp; Params'!$B$14</f>
        <v/>
      </c>
    </row>
    <row r="86">
      <c r="A86" s="12">
        <f>RANK(O86,$O$2:$O$139,0)</f>
        <v/>
      </c>
      <c r="B86" s="30" t="inlineStr">
        <is>
          <t>Old Dominion</t>
        </is>
      </c>
      <c r="C86" s="23">
        <f>INDEX('Auto Feed'!$B$2:$B$139,MATCH($B86,'Auto Feed'!$A$2:$A$139,0))</f>
        <v/>
      </c>
      <c r="D86" s="31">
        <f>INDEX('Weekly Input'!$B$2:$B$139,MATCH($B86,'Weekly Input'!$A$2:$A$139,0))</f>
        <v/>
      </c>
      <c r="E86" s="31">
        <f>INDEX('Auto Feed'!$C$2:$C$139,MATCH($B86,'Auto Feed'!$A$2:$A$139,0))</f>
        <v/>
      </c>
      <c r="F86" s="31">
        <f>INDEX('Auto Feed'!$D$2:$D$139,MATCH($B86,'Auto Feed'!$A$2:$A$139,0))</f>
        <v/>
      </c>
      <c r="G86" s="51">
        <f>INDEX('Auto Feed'!$E$2:$E$139,MATCH($B86,'Auto Feed'!$A$2:$A$139,0))</f>
        <v/>
      </c>
      <c r="H86" s="51">
        <f>INDEX('Auto Feed'!$F$2:$F$139,MATCH($B86,'Auto Feed'!$A$2:$A$139,0))</f>
        <v/>
      </c>
      <c r="I86" s="51">
        <f>INDEX('Auto Feed'!$G$2:$G$139,MATCH($B86,'Auto Feed'!$A$2:$A$139,0))</f>
        <v/>
      </c>
      <c r="J86" s="51">
        <f>INDEX('Auto Feed'!$H$2:$H$139,MATCH($B86,'Auto Feed'!$A$2:$A$139,0))</f>
        <v/>
      </c>
      <c r="K86" s="32">
        <f>((G86-AVERAGE('Auto Feed'!$E$2:$E$139))/STDEV('Auto Feed'!$E$2:$E$139))+((H86-AVERAGE('Auto Feed'!$F$2:$F$139))/STDEV('Auto Feed'!$F$2:$F$139))+((I86-AVERAGE('Auto Feed'!$G$2:$G$139))/STDEV('Auto Feed'!$G$2:$G$139))-((J86-AVERAGE('Auto Feed'!$H$2:$H$139))/STDEV('Auto Feed'!$H$2:$H$139))</f>
        <v/>
      </c>
      <c r="L86" s="31">
        <f>((E86-AVERAGE('Auto Feed'!$C$2:$C$139))/STDEV('Auto Feed'!$C$2:$C$139))*'Weights &amp; Params'!$B$14</f>
        <v/>
      </c>
      <c r="M86" s="31">
        <f>((F86-AVERAGE('Auto Feed'!$D$2:$D$139))/STDEV('Auto Feed'!$D$2:$D$139))*'Weights &amp; Params'!$B$14</f>
        <v/>
      </c>
      <c r="N86" s="31">
        <f>((K86-AVERAGE($K$2:$K$139))/STDEV($K$2:$K$139))*'Weights &amp; Params'!$B$14</f>
        <v/>
      </c>
      <c r="O86" s="33">
        <f>'Weights &amp; Params'!$B$5*D86+'Weights &amp; Params'!$B$6*L86+'Weights &amp; Params'!$B$7*M86+'Weights &amp; Params'!$B$8*N86+'Weights &amp; Params'!$B$17*S86</f>
        <v/>
      </c>
      <c r="P86" s="54">
        <f>INDEX('Auto Feed'!$I$2:$I$139,MATCH($B86,'Auto Feed'!$A$2:$A$139,0))</f>
        <v/>
      </c>
      <c r="Q86" s="54">
        <f>INDEX('Auto Feed'!$J$2:$J$139,MATCH($B86,'Auto Feed'!$A$2:$A$139,0))</f>
        <v/>
      </c>
      <c r="R86" s="54">
        <f>((P86-AVERAGE('Auto Feed'!$I$2:$I$139))/STDEV('Auto Feed'!$I$2:$I$139))-((Q86-AVERAGE('Auto Feed'!$J$2:$J$139))/STDEV('Auto Feed'!$J$2:$J$139))</f>
        <v/>
      </c>
      <c r="S86" s="54">
        <f>((R86-AVERAGE($R$2:$R$139))/STDEV($R$2:$R$139))*'Weights &amp; Params'!$B$14</f>
        <v/>
      </c>
    </row>
    <row r="87">
      <c r="A87" s="12">
        <f>RANK(O87,$O$2:$O$139,0)</f>
        <v/>
      </c>
      <c r="B87" s="30" t="inlineStr">
        <is>
          <t>Ole Miss</t>
        </is>
      </c>
      <c r="C87" s="23">
        <f>INDEX('Auto Feed'!$B$2:$B$139,MATCH($B87,'Auto Feed'!$A$2:$A$139,0))</f>
        <v/>
      </c>
      <c r="D87" s="31">
        <f>INDEX('Weekly Input'!$B$2:$B$139,MATCH($B87,'Weekly Input'!$A$2:$A$139,0))</f>
        <v/>
      </c>
      <c r="E87" s="31">
        <f>INDEX('Auto Feed'!$C$2:$C$139,MATCH($B87,'Auto Feed'!$A$2:$A$139,0))</f>
        <v/>
      </c>
      <c r="F87" s="31">
        <f>INDEX('Auto Feed'!$D$2:$D$139,MATCH($B87,'Auto Feed'!$A$2:$A$139,0))</f>
        <v/>
      </c>
      <c r="G87" s="51">
        <f>INDEX('Auto Feed'!$E$2:$E$139,MATCH($B87,'Auto Feed'!$A$2:$A$139,0))</f>
        <v/>
      </c>
      <c r="H87" s="51">
        <f>INDEX('Auto Feed'!$F$2:$F$139,MATCH($B87,'Auto Feed'!$A$2:$A$139,0))</f>
        <v/>
      </c>
      <c r="I87" s="51">
        <f>INDEX('Auto Feed'!$G$2:$G$139,MATCH($B87,'Auto Feed'!$A$2:$A$139,0))</f>
        <v/>
      </c>
      <c r="J87" s="51">
        <f>INDEX('Auto Feed'!$H$2:$H$139,MATCH($B87,'Auto Feed'!$A$2:$A$139,0))</f>
        <v/>
      </c>
      <c r="K87" s="32">
        <f>((G87-AVERAGE('Auto Feed'!$E$2:$E$139))/STDEV('Auto Feed'!$E$2:$E$139))+((H87-AVERAGE('Auto Feed'!$F$2:$F$139))/STDEV('Auto Feed'!$F$2:$F$139))+((I87-AVERAGE('Auto Feed'!$G$2:$G$139))/STDEV('Auto Feed'!$G$2:$G$139))-((J87-AVERAGE('Auto Feed'!$H$2:$H$139))/STDEV('Auto Feed'!$H$2:$H$139))</f>
        <v/>
      </c>
      <c r="L87" s="31">
        <f>((E87-AVERAGE('Auto Feed'!$C$2:$C$139))/STDEV('Auto Feed'!$C$2:$C$139))*'Weights &amp; Params'!$B$14</f>
        <v/>
      </c>
      <c r="M87" s="31">
        <f>((F87-AVERAGE('Auto Feed'!$D$2:$D$139))/STDEV('Auto Feed'!$D$2:$D$139))*'Weights &amp; Params'!$B$14</f>
        <v/>
      </c>
      <c r="N87" s="31">
        <f>((K87-AVERAGE($K$2:$K$139))/STDEV($K$2:$K$139))*'Weights &amp; Params'!$B$14</f>
        <v/>
      </c>
      <c r="O87" s="33">
        <f>'Weights &amp; Params'!$B$5*D87+'Weights &amp; Params'!$B$6*L87+'Weights &amp; Params'!$B$7*M87+'Weights &amp; Params'!$B$8*N87+'Weights &amp; Params'!$B$17*S87</f>
        <v/>
      </c>
      <c r="P87" s="54">
        <f>INDEX('Auto Feed'!$I$2:$I$139,MATCH($B87,'Auto Feed'!$A$2:$A$139,0))</f>
        <v/>
      </c>
      <c r="Q87" s="54">
        <f>INDEX('Auto Feed'!$J$2:$J$139,MATCH($B87,'Auto Feed'!$A$2:$A$139,0))</f>
        <v/>
      </c>
      <c r="R87" s="54">
        <f>((P87-AVERAGE('Auto Feed'!$I$2:$I$139))/STDEV('Auto Feed'!$I$2:$I$139))-((Q87-AVERAGE('Auto Feed'!$J$2:$J$139))/STDEV('Auto Feed'!$J$2:$J$139))</f>
        <v/>
      </c>
      <c r="S87" s="54">
        <f>((R87-AVERAGE($R$2:$R$139))/STDEV($R$2:$R$139))*'Weights &amp; Params'!$B$14</f>
        <v/>
      </c>
    </row>
    <row r="88">
      <c r="A88" s="12">
        <f>RANK(O88,$O$2:$O$139,0)</f>
        <v/>
      </c>
      <c r="B88" s="30" t="inlineStr">
        <is>
          <t>Oregon</t>
        </is>
      </c>
      <c r="C88" s="23">
        <f>INDEX('Auto Feed'!$B$2:$B$139,MATCH($B88,'Auto Feed'!$A$2:$A$139,0))</f>
        <v/>
      </c>
      <c r="D88" s="31">
        <f>INDEX('Weekly Input'!$B$2:$B$139,MATCH($B88,'Weekly Input'!$A$2:$A$139,0))</f>
        <v/>
      </c>
      <c r="E88" s="31">
        <f>INDEX('Auto Feed'!$C$2:$C$139,MATCH($B88,'Auto Feed'!$A$2:$A$139,0))</f>
        <v/>
      </c>
      <c r="F88" s="31">
        <f>INDEX('Auto Feed'!$D$2:$D$139,MATCH($B88,'Auto Feed'!$A$2:$A$139,0))</f>
        <v/>
      </c>
      <c r="G88" s="51">
        <f>INDEX('Auto Feed'!$E$2:$E$139,MATCH($B88,'Auto Feed'!$A$2:$A$139,0))</f>
        <v/>
      </c>
      <c r="H88" s="51">
        <f>INDEX('Auto Feed'!$F$2:$F$139,MATCH($B88,'Auto Feed'!$A$2:$A$139,0))</f>
        <v/>
      </c>
      <c r="I88" s="51">
        <f>INDEX('Auto Feed'!$G$2:$G$139,MATCH($B88,'Auto Feed'!$A$2:$A$139,0))</f>
        <v/>
      </c>
      <c r="J88" s="51">
        <f>INDEX('Auto Feed'!$H$2:$H$139,MATCH($B88,'Auto Feed'!$A$2:$A$139,0))</f>
        <v/>
      </c>
      <c r="K88" s="32">
        <f>((G88-AVERAGE('Auto Feed'!$E$2:$E$139))/STDEV('Auto Feed'!$E$2:$E$139))+((H88-AVERAGE('Auto Feed'!$F$2:$F$139))/STDEV('Auto Feed'!$F$2:$F$139))+((I88-AVERAGE('Auto Feed'!$G$2:$G$139))/STDEV('Auto Feed'!$G$2:$G$139))-((J88-AVERAGE('Auto Feed'!$H$2:$H$139))/STDEV('Auto Feed'!$H$2:$H$139))</f>
        <v/>
      </c>
      <c r="L88" s="31">
        <f>((E88-AVERAGE('Auto Feed'!$C$2:$C$139))/STDEV('Auto Feed'!$C$2:$C$139))*'Weights &amp; Params'!$B$14</f>
        <v/>
      </c>
      <c r="M88" s="31">
        <f>((F88-AVERAGE('Auto Feed'!$D$2:$D$139))/STDEV('Auto Feed'!$D$2:$D$139))*'Weights &amp; Params'!$B$14</f>
        <v/>
      </c>
      <c r="N88" s="31">
        <f>((K88-AVERAGE($K$2:$K$139))/STDEV($K$2:$K$139))*'Weights &amp; Params'!$B$14</f>
        <v/>
      </c>
      <c r="O88" s="33">
        <f>'Weights &amp; Params'!$B$5*D88+'Weights &amp; Params'!$B$6*L88+'Weights &amp; Params'!$B$7*M88+'Weights &amp; Params'!$B$8*N88+'Weights &amp; Params'!$B$17*S88</f>
        <v/>
      </c>
      <c r="P88" s="54">
        <f>INDEX('Auto Feed'!$I$2:$I$139,MATCH($B88,'Auto Feed'!$A$2:$A$139,0))</f>
        <v/>
      </c>
      <c r="Q88" s="54">
        <f>INDEX('Auto Feed'!$J$2:$J$139,MATCH($B88,'Auto Feed'!$A$2:$A$139,0))</f>
        <v/>
      </c>
      <c r="R88" s="54">
        <f>((P88-AVERAGE('Auto Feed'!$I$2:$I$139))/STDEV('Auto Feed'!$I$2:$I$139))-((Q88-AVERAGE('Auto Feed'!$J$2:$J$139))/STDEV('Auto Feed'!$J$2:$J$139))</f>
        <v/>
      </c>
      <c r="S88" s="54">
        <f>((R88-AVERAGE($R$2:$R$139))/STDEV($R$2:$R$139))*'Weights &amp; Params'!$B$14</f>
        <v/>
      </c>
    </row>
    <row r="89">
      <c r="A89" s="12">
        <f>RANK(O89,$O$2:$O$139,0)</f>
        <v/>
      </c>
      <c r="B89" s="30" t="inlineStr">
        <is>
          <t>Oregon State</t>
        </is>
      </c>
      <c r="C89" s="23">
        <f>INDEX('Auto Feed'!$B$2:$B$139,MATCH($B89,'Auto Feed'!$A$2:$A$139,0))</f>
        <v/>
      </c>
      <c r="D89" s="31">
        <f>INDEX('Weekly Input'!$B$2:$B$139,MATCH($B89,'Weekly Input'!$A$2:$A$139,0))</f>
        <v/>
      </c>
      <c r="E89" s="31">
        <f>INDEX('Auto Feed'!$C$2:$C$139,MATCH($B89,'Auto Feed'!$A$2:$A$139,0))</f>
        <v/>
      </c>
      <c r="F89" s="31">
        <f>INDEX('Auto Feed'!$D$2:$D$139,MATCH($B89,'Auto Feed'!$A$2:$A$139,0))</f>
        <v/>
      </c>
      <c r="G89" s="51">
        <f>INDEX('Auto Feed'!$E$2:$E$139,MATCH($B89,'Auto Feed'!$A$2:$A$139,0))</f>
        <v/>
      </c>
      <c r="H89" s="51">
        <f>INDEX('Auto Feed'!$F$2:$F$139,MATCH($B89,'Auto Feed'!$A$2:$A$139,0))</f>
        <v/>
      </c>
      <c r="I89" s="51">
        <f>INDEX('Auto Feed'!$G$2:$G$139,MATCH($B89,'Auto Feed'!$A$2:$A$139,0))</f>
        <v/>
      </c>
      <c r="J89" s="51">
        <f>INDEX('Auto Feed'!$H$2:$H$139,MATCH($B89,'Auto Feed'!$A$2:$A$139,0))</f>
        <v/>
      </c>
      <c r="K89" s="32">
        <f>((G89-AVERAGE('Auto Feed'!$E$2:$E$139))/STDEV('Auto Feed'!$E$2:$E$139))+((H89-AVERAGE('Auto Feed'!$F$2:$F$139))/STDEV('Auto Feed'!$F$2:$F$139))+((I89-AVERAGE('Auto Feed'!$G$2:$G$139))/STDEV('Auto Feed'!$G$2:$G$139))-((J89-AVERAGE('Auto Feed'!$H$2:$H$139))/STDEV('Auto Feed'!$H$2:$H$139))</f>
        <v/>
      </c>
      <c r="L89" s="31">
        <f>((E89-AVERAGE('Auto Feed'!$C$2:$C$139))/STDEV('Auto Feed'!$C$2:$C$139))*'Weights &amp; Params'!$B$14</f>
        <v/>
      </c>
      <c r="M89" s="31">
        <f>((F89-AVERAGE('Auto Feed'!$D$2:$D$139))/STDEV('Auto Feed'!$D$2:$D$139))*'Weights &amp; Params'!$B$14</f>
        <v/>
      </c>
      <c r="N89" s="31">
        <f>((K89-AVERAGE($K$2:$K$139))/STDEV($K$2:$K$139))*'Weights &amp; Params'!$B$14</f>
        <v/>
      </c>
      <c r="O89" s="33">
        <f>'Weights &amp; Params'!$B$5*D89+'Weights &amp; Params'!$B$6*L89+'Weights &amp; Params'!$B$7*M89+'Weights &amp; Params'!$B$8*N89+'Weights &amp; Params'!$B$17*S89</f>
        <v/>
      </c>
      <c r="P89" s="54">
        <f>INDEX('Auto Feed'!$I$2:$I$139,MATCH($B89,'Auto Feed'!$A$2:$A$139,0))</f>
        <v/>
      </c>
      <c r="Q89" s="54">
        <f>INDEX('Auto Feed'!$J$2:$J$139,MATCH($B89,'Auto Feed'!$A$2:$A$139,0))</f>
        <v/>
      </c>
      <c r="R89" s="54">
        <f>((P89-AVERAGE('Auto Feed'!$I$2:$I$139))/STDEV('Auto Feed'!$I$2:$I$139))-((Q89-AVERAGE('Auto Feed'!$J$2:$J$139))/STDEV('Auto Feed'!$J$2:$J$139))</f>
        <v/>
      </c>
      <c r="S89" s="54">
        <f>((R89-AVERAGE($R$2:$R$139))/STDEV($R$2:$R$139))*'Weights &amp; Params'!$B$14</f>
        <v/>
      </c>
    </row>
    <row r="90">
      <c r="A90" s="12">
        <f>RANK(O90,$O$2:$O$139,0)</f>
        <v/>
      </c>
      <c r="B90" s="30" t="inlineStr">
        <is>
          <t>Penn State</t>
        </is>
      </c>
      <c r="C90" s="23">
        <f>INDEX('Auto Feed'!$B$2:$B$139,MATCH($B90,'Auto Feed'!$A$2:$A$139,0))</f>
        <v/>
      </c>
      <c r="D90" s="31">
        <f>INDEX('Weekly Input'!$B$2:$B$139,MATCH($B90,'Weekly Input'!$A$2:$A$139,0))</f>
        <v/>
      </c>
      <c r="E90" s="31">
        <f>INDEX('Auto Feed'!$C$2:$C$139,MATCH($B90,'Auto Feed'!$A$2:$A$139,0))</f>
        <v/>
      </c>
      <c r="F90" s="31">
        <f>INDEX('Auto Feed'!$D$2:$D$139,MATCH($B90,'Auto Feed'!$A$2:$A$139,0))</f>
        <v/>
      </c>
      <c r="G90" s="51">
        <f>INDEX('Auto Feed'!$E$2:$E$139,MATCH($B90,'Auto Feed'!$A$2:$A$139,0))</f>
        <v/>
      </c>
      <c r="H90" s="51">
        <f>INDEX('Auto Feed'!$F$2:$F$139,MATCH($B90,'Auto Feed'!$A$2:$A$139,0))</f>
        <v/>
      </c>
      <c r="I90" s="51">
        <f>INDEX('Auto Feed'!$G$2:$G$139,MATCH($B90,'Auto Feed'!$A$2:$A$139,0))</f>
        <v/>
      </c>
      <c r="J90" s="51">
        <f>INDEX('Auto Feed'!$H$2:$H$139,MATCH($B90,'Auto Feed'!$A$2:$A$139,0))</f>
        <v/>
      </c>
      <c r="K90" s="32">
        <f>((G90-AVERAGE('Auto Feed'!$E$2:$E$139))/STDEV('Auto Feed'!$E$2:$E$139))+((H90-AVERAGE('Auto Feed'!$F$2:$F$139))/STDEV('Auto Feed'!$F$2:$F$139))+((I90-AVERAGE('Auto Feed'!$G$2:$G$139))/STDEV('Auto Feed'!$G$2:$G$139))-((J90-AVERAGE('Auto Feed'!$H$2:$H$139))/STDEV('Auto Feed'!$H$2:$H$139))</f>
        <v/>
      </c>
      <c r="L90" s="31">
        <f>((E90-AVERAGE('Auto Feed'!$C$2:$C$139))/STDEV('Auto Feed'!$C$2:$C$139))*'Weights &amp; Params'!$B$14</f>
        <v/>
      </c>
      <c r="M90" s="31">
        <f>((F90-AVERAGE('Auto Feed'!$D$2:$D$139))/STDEV('Auto Feed'!$D$2:$D$139))*'Weights &amp; Params'!$B$14</f>
        <v/>
      </c>
      <c r="N90" s="31">
        <f>((K90-AVERAGE($K$2:$K$139))/STDEV($K$2:$K$139))*'Weights &amp; Params'!$B$14</f>
        <v/>
      </c>
      <c r="O90" s="33">
        <f>'Weights &amp; Params'!$B$5*D90+'Weights &amp; Params'!$B$6*L90+'Weights &amp; Params'!$B$7*M90+'Weights &amp; Params'!$B$8*N90+'Weights &amp; Params'!$B$17*S90</f>
        <v/>
      </c>
      <c r="P90" s="54">
        <f>INDEX('Auto Feed'!$I$2:$I$139,MATCH($B90,'Auto Feed'!$A$2:$A$139,0))</f>
        <v/>
      </c>
      <c r="Q90" s="54">
        <f>INDEX('Auto Feed'!$J$2:$J$139,MATCH($B90,'Auto Feed'!$A$2:$A$139,0))</f>
        <v/>
      </c>
      <c r="R90" s="54">
        <f>((P90-AVERAGE('Auto Feed'!$I$2:$I$139))/STDEV('Auto Feed'!$I$2:$I$139))-((Q90-AVERAGE('Auto Feed'!$J$2:$J$139))/STDEV('Auto Feed'!$J$2:$J$139))</f>
        <v/>
      </c>
      <c r="S90" s="54">
        <f>((R90-AVERAGE($R$2:$R$139))/STDEV($R$2:$R$139))*'Weights &amp; Params'!$B$14</f>
        <v/>
      </c>
    </row>
    <row r="91">
      <c r="A91" s="12">
        <f>RANK(O91,$O$2:$O$139,0)</f>
        <v/>
      </c>
      <c r="B91" s="30" t="inlineStr">
        <is>
          <t>Pittsburgh</t>
        </is>
      </c>
      <c r="C91" s="23">
        <f>INDEX('Auto Feed'!$B$2:$B$139,MATCH($B91,'Auto Feed'!$A$2:$A$139,0))</f>
        <v/>
      </c>
      <c r="D91" s="31">
        <f>INDEX('Weekly Input'!$B$2:$B$139,MATCH($B91,'Weekly Input'!$A$2:$A$139,0))</f>
        <v/>
      </c>
      <c r="E91" s="31">
        <f>INDEX('Auto Feed'!$C$2:$C$139,MATCH($B91,'Auto Feed'!$A$2:$A$139,0))</f>
        <v/>
      </c>
      <c r="F91" s="31">
        <f>INDEX('Auto Feed'!$D$2:$D$139,MATCH($B91,'Auto Feed'!$A$2:$A$139,0))</f>
        <v/>
      </c>
      <c r="G91" s="51">
        <f>INDEX('Auto Feed'!$E$2:$E$139,MATCH($B91,'Auto Feed'!$A$2:$A$139,0))</f>
        <v/>
      </c>
      <c r="H91" s="51">
        <f>INDEX('Auto Feed'!$F$2:$F$139,MATCH($B91,'Auto Feed'!$A$2:$A$139,0))</f>
        <v/>
      </c>
      <c r="I91" s="51">
        <f>INDEX('Auto Feed'!$G$2:$G$139,MATCH($B91,'Auto Feed'!$A$2:$A$139,0))</f>
        <v/>
      </c>
      <c r="J91" s="51">
        <f>INDEX('Auto Feed'!$H$2:$H$139,MATCH($B91,'Auto Feed'!$A$2:$A$139,0))</f>
        <v/>
      </c>
      <c r="K91" s="32">
        <f>((G91-AVERAGE('Auto Feed'!$E$2:$E$139))/STDEV('Auto Feed'!$E$2:$E$139))+((H91-AVERAGE('Auto Feed'!$F$2:$F$139))/STDEV('Auto Feed'!$F$2:$F$139))+((I91-AVERAGE('Auto Feed'!$G$2:$G$139))/STDEV('Auto Feed'!$G$2:$G$139))-((J91-AVERAGE('Auto Feed'!$H$2:$H$139))/STDEV('Auto Feed'!$H$2:$H$139))</f>
        <v/>
      </c>
      <c r="L91" s="31">
        <f>((E91-AVERAGE('Auto Feed'!$C$2:$C$139))/STDEV('Auto Feed'!$C$2:$C$139))*'Weights &amp; Params'!$B$14</f>
        <v/>
      </c>
      <c r="M91" s="31">
        <f>((F91-AVERAGE('Auto Feed'!$D$2:$D$139))/STDEV('Auto Feed'!$D$2:$D$139))*'Weights &amp; Params'!$B$14</f>
        <v/>
      </c>
      <c r="N91" s="31">
        <f>((K91-AVERAGE($K$2:$K$139))/STDEV($K$2:$K$139))*'Weights &amp; Params'!$B$14</f>
        <v/>
      </c>
      <c r="O91" s="33">
        <f>'Weights &amp; Params'!$B$5*D91+'Weights &amp; Params'!$B$6*L91+'Weights &amp; Params'!$B$7*M91+'Weights &amp; Params'!$B$8*N91+'Weights &amp; Params'!$B$17*S91</f>
        <v/>
      </c>
      <c r="P91" s="54">
        <f>INDEX('Auto Feed'!$I$2:$I$139,MATCH($B91,'Auto Feed'!$A$2:$A$139,0))</f>
        <v/>
      </c>
      <c r="Q91" s="54">
        <f>INDEX('Auto Feed'!$J$2:$J$139,MATCH($B91,'Auto Feed'!$A$2:$A$139,0))</f>
        <v/>
      </c>
      <c r="R91" s="54">
        <f>((P91-AVERAGE('Auto Feed'!$I$2:$I$139))/STDEV('Auto Feed'!$I$2:$I$139))-((Q91-AVERAGE('Auto Feed'!$J$2:$J$139))/STDEV('Auto Feed'!$J$2:$J$139))</f>
        <v/>
      </c>
      <c r="S91" s="54">
        <f>((R91-AVERAGE($R$2:$R$139))/STDEV($R$2:$R$139))*'Weights &amp; Params'!$B$14</f>
        <v/>
      </c>
    </row>
    <row r="92">
      <c r="A92" s="12">
        <f>RANK(O92,$O$2:$O$139,0)</f>
        <v/>
      </c>
      <c r="B92" s="30" t="inlineStr">
        <is>
          <t>Purdue</t>
        </is>
      </c>
      <c r="C92" s="23">
        <f>INDEX('Auto Feed'!$B$2:$B$139,MATCH($B92,'Auto Feed'!$A$2:$A$139,0))</f>
        <v/>
      </c>
      <c r="D92" s="31">
        <f>INDEX('Weekly Input'!$B$2:$B$139,MATCH($B92,'Weekly Input'!$A$2:$A$139,0))</f>
        <v/>
      </c>
      <c r="E92" s="31">
        <f>INDEX('Auto Feed'!$C$2:$C$139,MATCH($B92,'Auto Feed'!$A$2:$A$139,0))</f>
        <v/>
      </c>
      <c r="F92" s="31">
        <f>INDEX('Auto Feed'!$D$2:$D$139,MATCH($B92,'Auto Feed'!$A$2:$A$139,0))</f>
        <v/>
      </c>
      <c r="G92" s="51">
        <f>INDEX('Auto Feed'!$E$2:$E$139,MATCH($B92,'Auto Feed'!$A$2:$A$139,0))</f>
        <v/>
      </c>
      <c r="H92" s="51">
        <f>INDEX('Auto Feed'!$F$2:$F$139,MATCH($B92,'Auto Feed'!$A$2:$A$139,0))</f>
        <v/>
      </c>
      <c r="I92" s="51">
        <f>INDEX('Auto Feed'!$G$2:$G$139,MATCH($B92,'Auto Feed'!$A$2:$A$139,0))</f>
        <v/>
      </c>
      <c r="J92" s="51">
        <f>INDEX('Auto Feed'!$H$2:$H$139,MATCH($B92,'Auto Feed'!$A$2:$A$139,0))</f>
        <v/>
      </c>
      <c r="K92" s="32">
        <f>((G92-AVERAGE('Auto Feed'!$E$2:$E$139))/STDEV('Auto Feed'!$E$2:$E$139))+((H92-AVERAGE('Auto Feed'!$F$2:$F$139))/STDEV('Auto Feed'!$F$2:$F$139))+((I92-AVERAGE('Auto Feed'!$G$2:$G$139))/STDEV('Auto Feed'!$G$2:$G$139))-((J92-AVERAGE('Auto Feed'!$H$2:$H$139))/STDEV('Auto Feed'!$H$2:$H$139))</f>
        <v/>
      </c>
      <c r="L92" s="31">
        <f>((E92-AVERAGE('Auto Feed'!$C$2:$C$139))/STDEV('Auto Feed'!$C$2:$C$139))*'Weights &amp; Params'!$B$14</f>
        <v/>
      </c>
      <c r="M92" s="31">
        <f>((F92-AVERAGE('Auto Feed'!$D$2:$D$139))/STDEV('Auto Feed'!$D$2:$D$139))*'Weights &amp; Params'!$B$14</f>
        <v/>
      </c>
      <c r="N92" s="31">
        <f>((K92-AVERAGE($K$2:$K$139))/STDEV($K$2:$K$139))*'Weights &amp; Params'!$B$14</f>
        <v/>
      </c>
      <c r="O92" s="33">
        <f>'Weights &amp; Params'!$B$5*D92+'Weights &amp; Params'!$B$6*L92+'Weights &amp; Params'!$B$7*M92+'Weights &amp; Params'!$B$8*N92+'Weights &amp; Params'!$B$17*S92</f>
        <v/>
      </c>
      <c r="P92" s="54">
        <f>INDEX('Auto Feed'!$I$2:$I$139,MATCH($B92,'Auto Feed'!$A$2:$A$139,0))</f>
        <v/>
      </c>
      <c r="Q92" s="54">
        <f>INDEX('Auto Feed'!$J$2:$J$139,MATCH($B92,'Auto Feed'!$A$2:$A$139,0))</f>
        <v/>
      </c>
      <c r="R92" s="54">
        <f>((P92-AVERAGE('Auto Feed'!$I$2:$I$139))/STDEV('Auto Feed'!$I$2:$I$139))-((Q92-AVERAGE('Auto Feed'!$J$2:$J$139))/STDEV('Auto Feed'!$J$2:$J$139))</f>
        <v/>
      </c>
      <c r="S92" s="54">
        <f>((R92-AVERAGE($R$2:$R$139))/STDEV($R$2:$R$139))*'Weights &amp; Params'!$B$14</f>
        <v/>
      </c>
    </row>
    <row r="93">
      <c r="A93" s="12">
        <f>RANK(O93,$O$2:$O$139,0)</f>
        <v/>
      </c>
      <c r="B93" s="30" t="inlineStr">
        <is>
          <t>Rice</t>
        </is>
      </c>
      <c r="C93" s="23">
        <f>INDEX('Auto Feed'!$B$2:$B$139,MATCH($B93,'Auto Feed'!$A$2:$A$139,0))</f>
        <v/>
      </c>
      <c r="D93" s="31">
        <f>INDEX('Weekly Input'!$B$2:$B$139,MATCH($B93,'Weekly Input'!$A$2:$A$139,0))</f>
        <v/>
      </c>
      <c r="E93" s="31">
        <f>INDEX('Auto Feed'!$C$2:$C$139,MATCH($B93,'Auto Feed'!$A$2:$A$139,0))</f>
        <v/>
      </c>
      <c r="F93" s="31">
        <f>INDEX('Auto Feed'!$D$2:$D$139,MATCH($B93,'Auto Feed'!$A$2:$A$139,0))</f>
        <v/>
      </c>
      <c r="G93" s="51">
        <f>INDEX('Auto Feed'!$E$2:$E$139,MATCH($B93,'Auto Feed'!$A$2:$A$139,0))</f>
        <v/>
      </c>
      <c r="H93" s="51">
        <f>INDEX('Auto Feed'!$F$2:$F$139,MATCH($B93,'Auto Feed'!$A$2:$A$139,0))</f>
        <v/>
      </c>
      <c r="I93" s="51">
        <f>INDEX('Auto Feed'!$G$2:$G$139,MATCH($B93,'Auto Feed'!$A$2:$A$139,0))</f>
        <v/>
      </c>
      <c r="J93" s="51">
        <f>INDEX('Auto Feed'!$H$2:$H$139,MATCH($B93,'Auto Feed'!$A$2:$A$139,0))</f>
        <v/>
      </c>
      <c r="K93" s="32">
        <f>((G93-AVERAGE('Auto Feed'!$E$2:$E$139))/STDEV('Auto Feed'!$E$2:$E$139))+((H93-AVERAGE('Auto Feed'!$F$2:$F$139))/STDEV('Auto Feed'!$F$2:$F$139))+((I93-AVERAGE('Auto Feed'!$G$2:$G$139))/STDEV('Auto Feed'!$G$2:$G$139))-((J93-AVERAGE('Auto Feed'!$H$2:$H$139))/STDEV('Auto Feed'!$H$2:$H$139))</f>
        <v/>
      </c>
      <c r="L93" s="31">
        <f>((E93-AVERAGE('Auto Feed'!$C$2:$C$139))/STDEV('Auto Feed'!$C$2:$C$139))*'Weights &amp; Params'!$B$14</f>
        <v/>
      </c>
      <c r="M93" s="31">
        <f>((F93-AVERAGE('Auto Feed'!$D$2:$D$139))/STDEV('Auto Feed'!$D$2:$D$139))*'Weights &amp; Params'!$B$14</f>
        <v/>
      </c>
      <c r="N93" s="31">
        <f>((K93-AVERAGE($K$2:$K$139))/STDEV($K$2:$K$139))*'Weights &amp; Params'!$B$14</f>
        <v/>
      </c>
      <c r="O93" s="33">
        <f>'Weights &amp; Params'!$B$5*D93+'Weights &amp; Params'!$B$6*L93+'Weights &amp; Params'!$B$7*M93+'Weights &amp; Params'!$B$8*N93+'Weights &amp; Params'!$B$17*S93</f>
        <v/>
      </c>
      <c r="P93" s="54">
        <f>INDEX('Auto Feed'!$I$2:$I$139,MATCH($B93,'Auto Feed'!$A$2:$A$139,0))</f>
        <v/>
      </c>
      <c r="Q93" s="54">
        <f>INDEX('Auto Feed'!$J$2:$J$139,MATCH($B93,'Auto Feed'!$A$2:$A$139,0))</f>
        <v/>
      </c>
      <c r="R93" s="54">
        <f>((P93-AVERAGE('Auto Feed'!$I$2:$I$139))/STDEV('Auto Feed'!$I$2:$I$139))-((Q93-AVERAGE('Auto Feed'!$J$2:$J$139))/STDEV('Auto Feed'!$J$2:$J$139))</f>
        <v/>
      </c>
      <c r="S93" s="54">
        <f>((R93-AVERAGE($R$2:$R$139))/STDEV($R$2:$R$139))*'Weights &amp; Params'!$B$14</f>
        <v/>
      </c>
    </row>
    <row r="94">
      <c r="A94" s="12">
        <f>RANK(O94,$O$2:$O$139,0)</f>
        <v/>
      </c>
      <c r="B94" s="30" t="inlineStr">
        <is>
          <t>Rutgers</t>
        </is>
      </c>
      <c r="C94" s="23">
        <f>INDEX('Auto Feed'!$B$2:$B$139,MATCH($B94,'Auto Feed'!$A$2:$A$139,0))</f>
        <v/>
      </c>
      <c r="D94" s="31">
        <f>INDEX('Weekly Input'!$B$2:$B$139,MATCH($B94,'Weekly Input'!$A$2:$A$139,0))</f>
        <v/>
      </c>
      <c r="E94" s="31">
        <f>INDEX('Auto Feed'!$C$2:$C$139,MATCH($B94,'Auto Feed'!$A$2:$A$139,0))</f>
        <v/>
      </c>
      <c r="F94" s="31">
        <f>INDEX('Auto Feed'!$D$2:$D$139,MATCH($B94,'Auto Feed'!$A$2:$A$139,0))</f>
        <v/>
      </c>
      <c r="G94" s="51">
        <f>INDEX('Auto Feed'!$E$2:$E$139,MATCH($B94,'Auto Feed'!$A$2:$A$139,0))</f>
        <v/>
      </c>
      <c r="H94" s="51">
        <f>INDEX('Auto Feed'!$F$2:$F$139,MATCH($B94,'Auto Feed'!$A$2:$A$139,0))</f>
        <v/>
      </c>
      <c r="I94" s="51">
        <f>INDEX('Auto Feed'!$G$2:$G$139,MATCH($B94,'Auto Feed'!$A$2:$A$139,0))</f>
        <v/>
      </c>
      <c r="J94" s="51">
        <f>INDEX('Auto Feed'!$H$2:$H$139,MATCH($B94,'Auto Feed'!$A$2:$A$139,0))</f>
        <v/>
      </c>
      <c r="K94" s="32">
        <f>((G94-AVERAGE('Auto Feed'!$E$2:$E$139))/STDEV('Auto Feed'!$E$2:$E$139))+((H94-AVERAGE('Auto Feed'!$F$2:$F$139))/STDEV('Auto Feed'!$F$2:$F$139))+((I94-AVERAGE('Auto Feed'!$G$2:$G$139))/STDEV('Auto Feed'!$G$2:$G$139))-((J94-AVERAGE('Auto Feed'!$H$2:$H$139))/STDEV('Auto Feed'!$H$2:$H$139))</f>
        <v/>
      </c>
      <c r="L94" s="31">
        <f>((E94-AVERAGE('Auto Feed'!$C$2:$C$139))/STDEV('Auto Feed'!$C$2:$C$139))*'Weights &amp; Params'!$B$14</f>
        <v/>
      </c>
      <c r="M94" s="31">
        <f>((F94-AVERAGE('Auto Feed'!$D$2:$D$139))/STDEV('Auto Feed'!$D$2:$D$139))*'Weights &amp; Params'!$B$14</f>
        <v/>
      </c>
      <c r="N94" s="31">
        <f>((K94-AVERAGE($K$2:$K$139))/STDEV($K$2:$K$139))*'Weights &amp; Params'!$B$14</f>
        <v/>
      </c>
      <c r="O94" s="33">
        <f>'Weights &amp; Params'!$B$5*D94+'Weights &amp; Params'!$B$6*L94+'Weights &amp; Params'!$B$7*M94+'Weights &amp; Params'!$B$8*N94+'Weights &amp; Params'!$B$17*S94</f>
        <v/>
      </c>
      <c r="P94" s="54">
        <f>INDEX('Auto Feed'!$I$2:$I$139,MATCH($B94,'Auto Feed'!$A$2:$A$139,0))</f>
        <v/>
      </c>
      <c r="Q94" s="54">
        <f>INDEX('Auto Feed'!$J$2:$J$139,MATCH($B94,'Auto Feed'!$A$2:$A$139,0))</f>
        <v/>
      </c>
      <c r="R94" s="54">
        <f>((P94-AVERAGE('Auto Feed'!$I$2:$I$139))/STDEV('Auto Feed'!$I$2:$I$139))-((Q94-AVERAGE('Auto Feed'!$J$2:$J$139))/STDEV('Auto Feed'!$J$2:$J$139))</f>
        <v/>
      </c>
      <c r="S94" s="54">
        <f>((R94-AVERAGE($R$2:$R$139))/STDEV($R$2:$R$139))*'Weights &amp; Params'!$B$14</f>
        <v/>
      </c>
    </row>
    <row r="95">
      <c r="A95" s="12">
        <f>RANK(O95,$O$2:$O$139,0)</f>
        <v/>
      </c>
      <c r="B95" s="30" t="inlineStr">
        <is>
          <t>SMU</t>
        </is>
      </c>
      <c r="C95" s="23">
        <f>INDEX('Auto Feed'!$B$2:$B$139,MATCH($B95,'Auto Feed'!$A$2:$A$139,0))</f>
        <v/>
      </c>
      <c r="D95" s="31">
        <f>INDEX('Weekly Input'!$B$2:$B$139,MATCH($B95,'Weekly Input'!$A$2:$A$139,0))</f>
        <v/>
      </c>
      <c r="E95" s="31">
        <f>INDEX('Auto Feed'!$C$2:$C$139,MATCH($B95,'Auto Feed'!$A$2:$A$139,0))</f>
        <v/>
      </c>
      <c r="F95" s="31">
        <f>INDEX('Auto Feed'!$D$2:$D$139,MATCH($B95,'Auto Feed'!$A$2:$A$139,0))</f>
        <v/>
      </c>
      <c r="G95" s="51">
        <f>INDEX('Auto Feed'!$E$2:$E$139,MATCH($B95,'Auto Feed'!$A$2:$A$139,0))</f>
        <v/>
      </c>
      <c r="H95" s="51">
        <f>INDEX('Auto Feed'!$F$2:$F$139,MATCH($B95,'Auto Feed'!$A$2:$A$139,0))</f>
        <v/>
      </c>
      <c r="I95" s="51">
        <f>INDEX('Auto Feed'!$G$2:$G$139,MATCH($B95,'Auto Feed'!$A$2:$A$139,0))</f>
        <v/>
      </c>
      <c r="J95" s="51">
        <f>INDEX('Auto Feed'!$H$2:$H$139,MATCH($B95,'Auto Feed'!$A$2:$A$139,0))</f>
        <v/>
      </c>
      <c r="K95" s="32">
        <f>((G95-AVERAGE('Auto Feed'!$E$2:$E$139))/STDEV('Auto Feed'!$E$2:$E$139))+((H95-AVERAGE('Auto Feed'!$F$2:$F$139))/STDEV('Auto Feed'!$F$2:$F$139))+((I95-AVERAGE('Auto Feed'!$G$2:$G$139))/STDEV('Auto Feed'!$G$2:$G$139))-((J95-AVERAGE('Auto Feed'!$H$2:$H$139))/STDEV('Auto Feed'!$H$2:$H$139))</f>
        <v/>
      </c>
      <c r="L95" s="31">
        <f>((E95-AVERAGE('Auto Feed'!$C$2:$C$139))/STDEV('Auto Feed'!$C$2:$C$139))*'Weights &amp; Params'!$B$14</f>
        <v/>
      </c>
      <c r="M95" s="31">
        <f>((F95-AVERAGE('Auto Feed'!$D$2:$D$139))/STDEV('Auto Feed'!$D$2:$D$139))*'Weights &amp; Params'!$B$14</f>
        <v/>
      </c>
      <c r="N95" s="31">
        <f>((K95-AVERAGE($K$2:$K$139))/STDEV($K$2:$K$139))*'Weights &amp; Params'!$B$14</f>
        <v/>
      </c>
      <c r="O95" s="33">
        <f>'Weights &amp; Params'!$B$5*D95+'Weights &amp; Params'!$B$6*L95+'Weights &amp; Params'!$B$7*M95+'Weights &amp; Params'!$B$8*N95+'Weights &amp; Params'!$B$17*S95</f>
        <v/>
      </c>
      <c r="P95" s="54">
        <f>INDEX('Auto Feed'!$I$2:$I$139,MATCH($B95,'Auto Feed'!$A$2:$A$139,0))</f>
        <v/>
      </c>
      <c r="Q95" s="54">
        <f>INDEX('Auto Feed'!$J$2:$J$139,MATCH($B95,'Auto Feed'!$A$2:$A$139,0))</f>
        <v/>
      </c>
      <c r="R95" s="54">
        <f>((P95-AVERAGE('Auto Feed'!$I$2:$I$139))/STDEV('Auto Feed'!$I$2:$I$139))-((Q95-AVERAGE('Auto Feed'!$J$2:$J$139))/STDEV('Auto Feed'!$J$2:$J$139))</f>
        <v/>
      </c>
      <c r="S95" s="54">
        <f>((R95-AVERAGE($R$2:$R$139))/STDEV($R$2:$R$139))*'Weights &amp; Params'!$B$14</f>
        <v/>
      </c>
    </row>
    <row r="96">
      <c r="A96" s="12">
        <f>RANK(O96,$O$2:$O$139,0)</f>
        <v/>
      </c>
      <c r="B96" s="30" t="inlineStr">
        <is>
          <t>Sam Houston</t>
        </is>
      </c>
      <c r="C96" s="23">
        <f>INDEX('Auto Feed'!$B$2:$B$139,MATCH($B96,'Auto Feed'!$A$2:$A$139,0))</f>
        <v/>
      </c>
      <c r="D96" s="31">
        <f>INDEX('Weekly Input'!$B$2:$B$139,MATCH($B96,'Weekly Input'!$A$2:$A$139,0))</f>
        <v/>
      </c>
      <c r="E96" s="31">
        <f>INDEX('Auto Feed'!$C$2:$C$139,MATCH($B96,'Auto Feed'!$A$2:$A$139,0))</f>
        <v/>
      </c>
      <c r="F96" s="31">
        <f>INDEX('Auto Feed'!$D$2:$D$139,MATCH($B96,'Auto Feed'!$A$2:$A$139,0))</f>
        <v/>
      </c>
      <c r="G96" s="51">
        <f>INDEX('Auto Feed'!$E$2:$E$139,MATCH($B96,'Auto Feed'!$A$2:$A$139,0))</f>
        <v/>
      </c>
      <c r="H96" s="51">
        <f>INDEX('Auto Feed'!$F$2:$F$139,MATCH($B96,'Auto Feed'!$A$2:$A$139,0))</f>
        <v/>
      </c>
      <c r="I96" s="51">
        <f>INDEX('Auto Feed'!$G$2:$G$139,MATCH($B96,'Auto Feed'!$A$2:$A$139,0))</f>
        <v/>
      </c>
      <c r="J96" s="51">
        <f>INDEX('Auto Feed'!$H$2:$H$139,MATCH($B96,'Auto Feed'!$A$2:$A$139,0))</f>
        <v/>
      </c>
      <c r="K96" s="32">
        <f>((G96-AVERAGE('Auto Feed'!$E$2:$E$139))/STDEV('Auto Feed'!$E$2:$E$139))+((H96-AVERAGE('Auto Feed'!$F$2:$F$139))/STDEV('Auto Feed'!$F$2:$F$139))+((I96-AVERAGE('Auto Feed'!$G$2:$G$139))/STDEV('Auto Feed'!$G$2:$G$139))-((J96-AVERAGE('Auto Feed'!$H$2:$H$139))/STDEV('Auto Feed'!$H$2:$H$139))</f>
        <v/>
      </c>
      <c r="L96" s="31">
        <f>((E96-AVERAGE('Auto Feed'!$C$2:$C$139))/STDEV('Auto Feed'!$C$2:$C$139))*'Weights &amp; Params'!$B$14</f>
        <v/>
      </c>
      <c r="M96" s="31">
        <f>((F96-AVERAGE('Auto Feed'!$D$2:$D$139))/STDEV('Auto Feed'!$D$2:$D$139))*'Weights &amp; Params'!$B$14</f>
        <v/>
      </c>
      <c r="N96" s="31">
        <f>((K96-AVERAGE($K$2:$K$139))/STDEV($K$2:$K$139))*'Weights &amp; Params'!$B$14</f>
        <v/>
      </c>
      <c r="O96" s="33">
        <f>'Weights &amp; Params'!$B$5*D96+'Weights &amp; Params'!$B$6*L96+'Weights &amp; Params'!$B$7*M96+'Weights &amp; Params'!$B$8*N96+'Weights &amp; Params'!$B$17*S96</f>
        <v/>
      </c>
      <c r="P96" s="54">
        <f>INDEX('Auto Feed'!$I$2:$I$139,MATCH($B96,'Auto Feed'!$A$2:$A$139,0))</f>
        <v/>
      </c>
      <c r="Q96" s="54">
        <f>INDEX('Auto Feed'!$J$2:$J$139,MATCH($B96,'Auto Feed'!$A$2:$A$139,0))</f>
        <v/>
      </c>
      <c r="R96" s="54">
        <f>((P96-AVERAGE('Auto Feed'!$I$2:$I$139))/STDEV('Auto Feed'!$I$2:$I$139))-((Q96-AVERAGE('Auto Feed'!$J$2:$J$139))/STDEV('Auto Feed'!$J$2:$J$139))</f>
        <v/>
      </c>
      <c r="S96" s="54">
        <f>((R96-AVERAGE($R$2:$R$139))/STDEV($R$2:$R$139))*'Weights &amp; Params'!$B$14</f>
        <v/>
      </c>
    </row>
    <row r="97">
      <c r="A97" s="12">
        <f>RANK(O97,$O$2:$O$139,0)</f>
        <v/>
      </c>
      <c r="B97" s="30" t="inlineStr">
        <is>
          <t>San Diego State</t>
        </is>
      </c>
      <c r="C97" s="23">
        <f>INDEX('Auto Feed'!$B$2:$B$139,MATCH($B97,'Auto Feed'!$A$2:$A$139,0))</f>
        <v/>
      </c>
      <c r="D97" s="31">
        <f>INDEX('Weekly Input'!$B$2:$B$139,MATCH($B97,'Weekly Input'!$A$2:$A$139,0))</f>
        <v/>
      </c>
      <c r="E97" s="31">
        <f>INDEX('Auto Feed'!$C$2:$C$139,MATCH($B97,'Auto Feed'!$A$2:$A$139,0))</f>
        <v/>
      </c>
      <c r="F97" s="31">
        <f>INDEX('Auto Feed'!$D$2:$D$139,MATCH($B97,'Auto Feed'!$A$2:$A$139,0))</f>
        <v/>
      </c>
      <c r="G97" s="51">
        <f>INDEX('Auto Feed'!$E$2:$E$139,MATCH($B97,'Auto Feed'!$A$2:$A$139,0))</f>
        <v/>
      </c>
      <c r="H97" s="51">
        <f>INDEX('Auto Feed'!$F$2:$F$139,MATCH($B97,'Auto Feed'!$A$2:$A$139,0))</f>
        <v/>
      </c>
      <c r="I97" s="51">
        <f>INDEX('Auto Feed'!$G$2:$G$139,MATCH($B97,'Auto Feed'!$A$2:$A$139,0))</f>
        <v/>
      </c>
      <c r="J97" s="51">
        <f>INDEX('Auto Feed'!$H$2:$H$139,MATCH($B97,'Auto Feed'!$A$2:$A$139,0))</f>
        <v/>
      </c>
      <c r="K97" s="32">
        <f>((G97-AVERAGE('Auto Feed'!$E$2:$E$139))/STDEV('Auto Feed'!$E$2:$E$139))+((H97-AVERAGE('Auto Feed'!$F$2:$F$139))/STDEV('Auto Feed'!$F$2:$F$139))+((I97-AVERAGE('Auto Feed'!$G$2:$G$139))/STDEV('Auto Feed'!$G$2:$G$139))-((J97-AVERAGE('Auto Feed'!$H$2:$H$139))/STDEV('Auto Feed'!$H$2:$H$139))</f>
        <v/>
      </c>
      <c r="L97" s="31">
        <f>((E97-AVERAGE('Auto Feed'!$C$2:$C$139))/STDEV('Auto Feed'!$C$2:$C$139))*'Weights &amp; Params'!$B$14</f>
        <v/>
      </c>
      <c r="M97" s="31">
        <f>((F97-AVERAGE('Auto Feed'!$D$2:$D$139))/STDEV('Auto Feed'!$D$2:$D$139))*'Weights &amp; Params'!$B$14</f>
        <v/>
      </c>
      <c r="N97" s="31">
        <f>((K97-AVERAGE($K$2:$K$139))/STDEV($K$2:$K$139))*'Weights &amp; Params'!$B$14</f>
        <v/>
      </c>
      <c r="O97" s="33">
        <f>'Weights &amp; Params'!$B$5*D97+'Weights &amp; Params'!$B$6*L97+'Weights &amp; Params'!$B$7*M97+'Weights &amp; Params'!$B$8*N97+'Weights &amp; Params'!$B$17*S97</f>
        <v/>
      </c>
      <c r="P97" s="54">
        <f>INDEX('Auto Feed'!$I$2:$I$139,MATCH($B97,'Auto Feed'!$A$2:$A$139,0))</f>
        <v/>
      </c>
      <c r="Q97" s="54">
        <f>INDEX('Auto Feed'!$J$2:$J$139,MATCH($B97,'Auto Feed'!$A$2:$A$139,0))</f>
        <v/>
      </c>
      <c r="R97" s="54">
        <f>((P97-AVERAGE('Auto Feed'!$I$2:$I$139))/STDEV('Auto Feed'!$I$2:$I$139))-((Q97-AVERAGE('Auto Feed'!$J$2:$J$139))/STDEV('Auto Feed'!$J$2:$J$139))</f>
        <v/>
      </c>
      <c r="S97" s="54">
        <f>((R97-AVERAGE($R$2:$R$139))/STDEV($R$2:$R$139))*'Weights &amp; Params'!$B$14</f>
        <v/>
      </c>
    </row>
    <row r="98">
      <c r="A98" s="12">
        <f>RANK(O98,$O$2:$O$139,0)</f>
        <v/>
      </c>
      <c r="B98" s="30" t="inlineStr">
        <is>
          <t>San Jose State</t>
        </is>
      </c>
      <c r="C98" s="23">
        <f>INDEX('Auto Feed'!$B$2:$B$139,MATCH($B98,'Auto Feed'!$A$2:$A$139,0))</f>
        <v/>
      </c>
      <c r="D98" s="31">
        <f>INDEX('Weekly Input'!$B$2:$B$139,MATCH($B98,'Weekly Input'!$A$2:$A$139,0))</f>
        <v/>
      </c>
      <c r="E98" s="31">
        <f>INDEX('Auto Feed'!$C$2:$C$139,MATCH($B98,'Auto Feed'!$A$2:$A$139,0))</f>
        <v/>
      </c>
      <c r="F98" s="31">
        <f>INDEX('Auto Feed'!$D$2:$D$139,MATCH($B98,'Auto Feed'!$A$2:$A$139,0))</f>
        <v/>
      </c>
      <c r="G98" s="51">
        <f>INDEX('Auto Feed'!$E$2:$E$139,MATCH($B98,'Auto Feed'!$A$2:$A$139,0))</f>
        <v/>
      </c>
      <c r="H98" s="51">
        <f>INDEX('Auto Feed'!$F$2:$F$139,MATCH($B98,'Auto Feed'!$A$2:$A$139,0))</f>
        <v/>
      </c>
      <c r="I98" s="51">
        <f>INDEX('Auto Feed'!$G$2:$G$139,MATCH($B98,'Auto Feed'!$A$2:$A$139,0))</f>
        <v/>
      </c>
      <c r="J98" s="51">
        <f>INDEX('Auto Feed'!$H$2:$H$139,MATCH($B98,'Auto Feed'!$A$2:$A$139,0))</f>
        <v/>
      </c>
      <c r="K98" s="32">
        <f>((G98-AVERAGE('Auto Feed'!$E$2:$E$139))/STDEV('Auto Feed'!$E$2:$E$139))+((H98-AVERAGE('Auto Feed'!$F$2:$F$139))/STDEV('Auto Feed'!$F$2:$F$139))+((I98-AVERAGE('Auto Feed'!$G$2:$G$139))/STDEV('Auto Feed'!$G$2:$G$139))-((J98-AVERAGE('Auto Feed'!$H$2:$H$139))/STDEV('Auto Feed'!$H$2:$H$139))</f>
        <v/>
      </c>
      <c r="L98" s="31">
        <f>((E98-AVERAGE('Auto Feed'!$C$2:$C$139))/STDEV('Auto Feed'!$C$2:$C$139))*'Weights &amp; Params'!$B$14</f>
        <v/>
      </c>
      <c r="M98" s="31">
        <f>((F98-AVERAGE('Auto Feed'!$D$2:$D$139))/STDEV('Auto Feed'!$D$2:$D$139))*'Weights &amp; Params'!$B$14</f>
        <v/>
      </c>
      <c r="N98" s="31">
        <f>((K98-AVERAGE($K$2:$K$139))/STDEV($K$2:$K$139))*'Weights &amp; Params'!$B$14</f>
        <v/>
      </c>
      <c r="O98" s="33">
        <f>'Weights &amp; Params'!$B$5*D98+'Weights &amp; Params'!$B$6*L98+'Weights &amp; Params'!$B$7*M98+'Weights &amp; Params'!$B$8*N98+'Weights &amp; Params'!$B$17*S98</f>
        <v/>
      </c>
      <c r="P98" s="54">
        <f>INDEX('Auto Feed'!$I$2:$I$139,MATCH($B98,'Auto Feed'!$A$2:$A$139,0))</f>
        <v/>
      </c>
      <c r="Q98" s="54">
        <f>INDEX('Auto Feed'!$J$2:$J$139,MATCH($B98,'Auto Feed'!$A$2:$A$139,0))</f>
        <v/>
      </c>
      <c r="R98" s="54">
        <f>((P98-AVERAGE('Auto Feed'!$I$2:$I$139))/STDEV('Auto Feed'!$I$2:$I$139))-((Q98-AVERAGE('Auto Feed'!$J$2:$J$139))/STDEV('Auto Feed'!$J$2:$J$139))</f>
        <v/>
      </c>
      <c r="S98" s="54">
        <f>((R98-AVERAGE($R$2:$R$139))/STDEV($R$2:$R$139))*'Weights &amp; Params'!$B$14</f>
        <v/>
      </c>
    </row>
    <row r="99">
      <c r="A99" s="12">
        <f>RANK(O99,$O$2:$O$139,0)</f>
        <v/>
      </c>
      <c r="B99" s="30" t="inlineStr">
        <is>
          <t>South Alabama</t>
        </is>
      </c>
      <c r="C99" s="23">
        <f>INDEX('Auto Feed'!$B$2:$B$139,MATCH($B99,'Auto Feed'!$A$2:$A$139,0))</f>
        <v/>
      </c>
      <c r="D99" s="31">
        <f>INDEX('Weekly Input'!$B$2:$B$139,MATCH($B99,'Weekly Input'!$A$2:$A$139,0))</f>
        <v/>
      </c>
      <c r="E99" s="31">
        <f>INDEX('Auto Feed'!$C$2:$C$139,MATCH($B99,'Auto Feed'!$A$2:$A$139,0))</f>
        <v/>
      </c>
      <c r="F99" s="31">
        <f>INDEX('Auto Feed'!$D$2:$D$139,MATCH($B99,'Auto Feed'!$A$2:$A$139,0))</f>
        <v/>
      </c>
      <c r="G99" s="51">
        <f>INDEX('Auto Feed'!$E$2:$E$139,MATCH($B99,'Auto Feed'!$A$2:$A$139,0))</f>
        <v/>
      </c>
      <c r="H99" s="51">
        <f>INDEX('Auto Feed'!$F$2:$F$139,MATCH($B99,'Auto Feed'!$A$2:$A$139,0))</f>
        <v/>
      </c>
      <c r="I99" s="51">
        <f>INDEX('Auto Feed'!$G$2:$G$139,MATCH($B99,'Auto Feed'!$A$2:$A$139,0))</f>
        <v/>
      </c>
      <c r="J99" s="51">
        <f>INDEX('Auto Feed'!$H$2:$H$139,MATCH($B99,'Auto Feed'!$A$2:$A$139,0))</f>
        <v/>
      </c>
      <c r="K99" s="32">
        <f>((G99-AVERAGE('Auto Feed'!$E$2:$E$139))/STDEV('Auto Feed'!$E$2:$E$139))+((H99-AVERAGE('Auto Feed'!$F$2:$F$139))/STDEV('Auto Feed'!$F$2:$F$139))+((I99-AVERAGE('Auto Feed'!$G$2:$G$139))/STDEV('Auto Feed'!$G$2:$G$139))-((J99-AVERAGE('Auto Feed'!$H$2:$H$139))/STDEV('Auto Feed'!$H$2:$H$139))</f>
        <v/>
      </c>
      <c r="L99" s="31">
        <f>((E99-AVERAGE('Auto Feed'!$C$2:$C$139))/STDEV('Auto Feed'!$C$2:$C$139))*'Weights &amp; Params'!$B$14</f>
        <v/>
      </c>
      <c r="M99" s="31">
        <f>((F99-AVERAGE('Auto Feed'!$D$2:$D$139))/STDEV('Auto Feed'!$D$2:$D$139))*'Weights &amp; Params'!$B$14</f>
        <v/>
      </c>
      <c r="N99" s="31">
        <f>((K99-AVERAGE($K$2:$K$139))/STDEV($K$2:$K$139))*'Weights &amp; Params'!$B$14</f>
        <v/>
      </c>
      <c r="O99" s="33">
        <f>'Weights &amp; Params'!$B$5*D99+'Weights &amp; Params'!$B$6*L99+'Weights &amp; Params'!$B$7*M99+'Weights &amp; Params'!$B$8*N99+'Weights &amp; Params'!$B$17*S99</f>
        <v/>
      </c>
      <c r="P99" s="54">
        <f>INDEX('Auto Feed'!$I$2:$I$139,MATCH($B99,'Auto Feed'!$A$2:$A$139,0))</f>
        <v/>
      </c>
      <c r="Q99" s="54">
        <f>INDEX('Auto Feed'!$J$2:$J$139,MATCH($B99,'Auto Feed'!$A$2:$A$139,0))</f>
        <v/>
      </c>
      <c r="R99" s="54">
        <f>((P99-AVERAGE('Auto Feed'!$I$2:$I$139))/STDEV('Auto Feed'!$I$2:$I$139))-((Q99-AVERAGE('Auto Feed'!$J$2:$J$139))/STDEV('Auto Feed'!$J$2:$J$139))</f>
        <v/>
      </c>
      <c r="S99" s="54">
        <f>((R99-AVERAGE($R$2:$R$139))/STDEV($R$2:$R$139))*'Weights &amp; Params'!$B$14</f>
        <v/>
      </c>
    </row>
    <row r="100">
      <c r="A100" s="12">
        <f>RANK(O100,$O$2:$O$139,0)</f>
        <v/>
      </c>
      <c r="B100" s="30" t="inlineStr">
        <is>
          <t>South Carolina</t>
        </is>
      </c>
      <c r="C100" s="23">
        <f>INDEX('Auto Feed'!$B$2:$B$139,MATCH($B100,'Auto Feed'!$A$2:$A$139,0))</f>
        <v/>
      </c>
      <c r="D100" s="31">
        <f>INDEX('Weekly Input'!$B$2:$B$139,MATCH($B100,'Weekly Input'!$A$2:$A$139,0))</f>
        <v/>
      </c>
      <c r="E100" s="31">
        <f>INDEX('Auto Feed'!$C$2:$C$139,MATCH($B100,'Auto Feed'!$A$2:$A$139,0))</f>
        <v/>
      </c>
      <c r="F100" s="31">
        <f>INDEX('Auto Feed'!$D$2:$D$139,MATCH($B100,'Auto Feed'!$A$2:$A$139,0))</f>
        <v/>
      </c>
      <c r="G100" s="51">
        <f>INDEX('Auto Feed'!$E$2:$E$139,MATCH($B100,'Auto Feed'!$A$2:$A$139,0))</f>
        <v/>
      </c>
      <c r="H100" s="51">
        <f>INDEX('Auto Feed'!$F$2:$F$139,MATCH($B100,'Auto Feed'!$A$2:$A$139,0))</f>
        <v/>
      </c>
      <c r="I100" s="51">
        <f>INDEX('Auto Feed'!$G$2:$G$139,MATCH($B100,'Auto Feed'!$A$2:$A$139,0))</f>
        <v/>
      </c>
      <c r="J100" s="51">
        <f>INDEX('Auto Feed'!$H$2:$H$139,MATCH($B100,'Auto Feed'!$A$2:$A$139,0))</f>
        <v/>
      </c>
      <c r="K100" s="32">
        <f>((G100-AVERAGE('Auto Feed'!$E$2:$E$139))/STDEV('Auto Feed'!$E$2:$E$139))+((H100-AVERAGE('Auto Feed'!$F$2:$F$139))/STDEV('Auto Feed'!$F$2:$F$139))+((I100-AVERAGE('Auto Feed'!$G$2:$G$139))/STDEV('Auto Feed'!$G$2:$G$139))-((J100-AVERAGE('Auto Feed'!$H$2:$H$139))/STDEV('Auto Feed'!$H$2:$H$139))</f>
        <v/>
      </c>
      <c r="L100" s="31">
        <f>((E100-AVERAGE('Auto Feed'!$C$2:$C$139))/STDEV('Auto Feed'!$C$2:$C$139))*'Weights &amp; Params'!$B$14</f>
        <v/>
      </c>
      <c r="M100" s="31">
        <f>((F100-AVERAGE('Auto Feed'!$D$2:$D$139))/STDEV('Auto Feed'!$D$2:$D$139))*'Weights &amp; Params'!$B$14</f>
        <v/>
      </c>
      <c r="N100" s="31">
        <f>((K100-AVERAGE($K$2:$K$139))/STDEV($K$2:$K$139))*'Weights &amp; Params'!$B$14</f>
        <v/>
      </c>
      <c r="O100" s="33">
        <f>'Weights &amp; Params'!$B$5*D100+'Weights &amp; Params'!$B$6*L100+'Weights &amp; Params'!$B$7*M100+'Weights &amp; Params'!$B$8*N100+'Weights &amp; Params'!$B$17*S100</f>
        <v/>
      </c>
      <c r="P100" s="54">
        <f>INDEX('Auto Feed'!$I$2:$I$139,MATCH($B100,'Auto Feed'!$A$2:$A$139,0))</f>
        <v/>
      </c>
      <c r="Q100" s="54">
        <f>INDEX('Auto Feed'!$J$2:$J$139,MATCH($B100,'Auto Feed'!$A$2:$A$139,0))</f>
        <v/>
      </c>
      <c r="R100" s="54">
        <f>((P100-AVERAGE('Auto Feed'!$I$2:$I$139))/STDEV('Auto Feed'!$I$2:$I$139))-((Q100-AVERAGE('Auto Feed'!$J$2:$J$139))/STDEV('Auto Feed'!$J$2:$J$139))</f>
        <v/>
      </c>
      <c r="S100" s="54">
        <f>((R100-AVERAGE($R$2:$R$139))/STDEV($R$2:$R$139))*'Weights &amp; Params'!$B$14</f>
        <v/>
      </c>
    </row>
    <row r="101">
      <c r="A101" s="12">
        <f>RANK(O101,$O$2:$O$139,0)</f>
        <v/>
      </c>
      <c r="B101" s="30" t="inlineStr">
        <is>
          <t>South Florida</t>
        </is>
      </c>
      <c r="C101" s="23">
        <f>INDEX('Auto Feed'!$B$2:$B$139,MATCH($B101,'Auto Feed'!$A$2:$A$139,0))</f>
        <v/>
      </c>
      <c r="D101" s="31">
        <f>INDEX('Weekly Input'!$B$2:$B$139,MATCH($B101,'Weekly Input'!$A$2:$A$139,0))</f>
        <v/>
      </c>
      <c r="E101" s="31">
        <f>INDEX('Auto Feed'!$C$2:$C$139,MATCH($B101,'Auto Feed'!$A$2:$A$139,0))</f>
        <v/>
      </c>
      <c r="F101" s="31">
        <f>INDEX('Auto Feed'!$D$2:$D$139,MATCH($B101,'Auto Feed'!$A$2:$A$139,0))</f>
        <v/>
      </c>
      <c r="G101" s="51">
        <f>INDEX('Auto Feed'!$E$2:$E$139,MATCH($B101,'Auto Feed'!$A$2:$A$139,0))</f>
        <v/>
      </c>
      <c r="H101" s="51">
        <f>INDEX('Auto Feed'!$F$2:$F$139,MATCH($B101,'Auto Feed'!$A$2:$A$139,0))</f>
        <v/>
      </c>
      <c r="I101" s="51">
        <f>INDEX('Auto Feed'!$G$2:$G$139,MATCH($B101,'Auto Feed'!$A$2:$A$139,0))</f>
        <v/>
      </c>
      <c r="J101" s="51">
        <f>INDEX('Auto Feed'!$H$2:$H$139,MATCH($B101,'Auto Feed'!$A$2:$A$139,0))</f>
        <v/>
      </c>
      <c r="K101" s="32">
        <f>((G101-AVERAGE('Auto Feed'!$E$2:$E$139))/STDEV('Auto Feed'!$E$2:$E$139))+((H101-AVERAGE('Auto Feed'!$F$2:$F$139))/STDEV('Auto Feed'!$F$2:$F$139))+((I101-AVERAGE('Auto Feed'!$G$2:$G$139))/STDEV('Auto Feed'!$G$2:$G$139))-((J101-AVERAGE('Auto Feed'!$H$2:$H$139))/STDEV('Auto Feed'!$H$2:$H$139))</f>
        <v/>
      </c>
      <c r="L101" s="31">
        <f>((E101-AVERAGE('Auto Feed'!$C$2:$C$139))/STDEV('Auto Feed'!$C$2:$C$139))*'Weights &amp; Params'!$B$14</f>
        <v/>
      </c>
      <c r="M101" s="31">
        <f>((F101-AVERAGE('Auto Feed'!$D$2:$D$139))/STDEV('Auto Feed'!$D$2:$D$139))*'Weights &amp; Params'!$B$14</f>
        <v/>
      </c>
      <c r="N101" s="31">
        <f>((K101-AVERAGE($K$2:$K$139))/STDEV($K$2:$K$139))*'Weights &amp; Params'!$B$14</f>
        <v/>
      </c>
      <c r="O101" s="33">
        <f>'Weights &amp; Params'!$B$5*D101+'Weights &amp; Params'!$B$6*L101+'Weights &amp; Params'!$B$7*M101+'Weights &amp; Params'!$B$8*N101+'Weights &amp; Params'!$B$17*S101</f>
        <v/>
      </c>
      <c r="P101" s="54">
        <f>INDEX('Auto Feed'!$I$2:$I$139,MATCH($B101,'Auto Feed'!$A$2:$A$139,0))</f>
        <v/>
      </c>
      <c r="Q101" s="54">
        <f>INDEX('Auto Feed'!$J$2:$J$139,MATCH($B101,'Auto Feed'!$A$2:$A$139,0))</f>
        <v/>
      </c>
      <c r="R101" s="54">
        <f>((P101-AVERAGE('Auto Feed'!$I$2:$I$139))/STDEV('Auto Feed'!$I$2:$I$139))-((Q101-AVERAGE('Auto Feed'!$J$2:$J$139))/STDEV('Auto Feed'!$J$2:$J$139))</f>
        <v/>
      </c>
      <c r="S101" s="54">
        <f>((R101-AVERAGE($R$2:$R$139))/STDEV($R$2:$R$139))*'Weights &amp; Params'!$B$14</f>
        <v/>
      </c>
    </row>
    <row r="102">
      <c r="A102" s="12">
        <f>RANK(O102,$O$2:$O$139,0)</f>
        <v/>
      </c>
      <c r="B102" s="30" t="inlineStr">
        <is>
          <t>Southern Miss</t>
        </is>
      </c>
      <c r="C102" s="23">
        <f>INDEX('Auto Feed'!$B$2:$B$139,MATCH($B102,'Auto Feed'!$A$2:$A$139,0))</f>
        <v/>
      </c>
      <c r="D102" s="31">
        <f>INDEX('Weekly Input'!$B$2:$B$139,MATCH($B102,'Weekly Input'!$A$2:$A$139,0))</f>
        <v/>
      </c>
      <c r="E102" s="31">
        <f>INDEX('Auto Feed'!$C$2:$C$139,MATCH($B102,'Auto Feed'!$A$2:$A$139,0))</f>
        <v/>
      </c>
      <c r="F102" s="31">
        <f>INDEX('Auto Feed'!$D$2:$D$139,MATCH($B102,'Auto Feed'!$A$2:$A$139,0))</f>
        <v/>
      </c>
      <c r="G102" s="51">
        <f>INDEX('Auto Feed'!$E$2:$E$139,MATCH($B102,'Auto Feed'!$A$2:$A$139,0))</f>
        <v/>
      </c>
      <c r="H102" s="51">
        <f>INDEX('Auto Feed'!$F$2:$F$139,MATCH($B102,'Auto Feed'!$A$2:$A$139,0))</f>
        <v/>
      </c>
      <c r="I102" s="51">
        <f>INDEX('Auto Feed'!$G$2:$G$139,MATCH($B102,'Auto Feed'!$A$2:$A$139,0))</f>
        <v/>
      </c>
      <c r="J102" s="51">
        <f>INDEX('Auto Feed'!$H$2:$H$139,MATCH($B102,'Auto Feed'!$A$2:$A$139,0))</f>
        <v/>
      </c>
      <c r="K102" s="32">
        <f>((G102-AVERAGE('Auto Feed'!$E$2:$E$139))/STDEV('Auto Feed'!$E$2:$E$139))+((H102-AVERAGE('Auto Feed'!$F$2:$F$139))/STDEV('Auto Feed'!$F$2:$F$139))+((I102-AVERAGE('Auto Feed'!$G$2:$G$139))/STDEV('Auto Feed'!$G$2:$G$139))-((J102-AVERAGE('Auto Feed'!$H$2:$H$139))/STDEV('Auto Feed'!$H$2:$H$139))</f>
        <v/>
      </c>
      <c r="L102" s="31">
        <f>((E102-AVERAGE('Auto Feed'!$C$2:$C$139))/STDEV('Auto Feed'!$C$2:$C$139))*'Weights &amp; Params'!$B$14</f>
        <v/>
      </c>
      <c r="M102" s="31">
        <f>((F102-AVERAGE('Auto Feed'!$D$2:$D$139))/STDEV('Auto Feed'!$D$2:$D$139))*'Weights &amp; Params'!$B$14</f>
        <v/>
      </c>
      <c r="N102" s="31">
        <f>((K102-AVERAGE($K$2:$K$139))/STDEV($K$2:$K$139))*'Weights &amp; Params'!$B$14</f>
        <v/>
      </c>
      <c r="O102" s="33">
        <f>'Weights &amp; Params'!$B$5*D102+'Weights &amp; Params'!$B$6*L102+'Weights &amp; Params'!$B$7*M102+'Weights &amp; Params'!$B$8*N102+'Weights &amp; Params'!$B$17*S102</f>
        <v/>
      </c>
      <c r="P102" s="54">
        <f>INDEX('Auto Feed'!$I$2:$I$139,MATCH($B102,'Auto Feed'!$A$2:$A$139,0))</f>
        <v/>
      </c>
      <c r="Q102" s="54">
        <f>INDEX('Auto Feed'!$J$2:$J$139,MATCH($B102,'Auto Feed'!$A$2:$A$139,0))</f>
        <v/>
      </c>
      <c r="R102" s="54">
        <f>((P102-AVERAGE('Auto Feed'!$I$2:$I$139))/STDEV('Auto Feed'!$I$2:$I$139))-((Q102-AVERAGE('Auto Feed'!$J$2:$J$139))/STDEV('Auto Feed'!$J$2:$J$139))</f>
        <v/>
      </c>
      <c r="S102" s="54">
        <f>((R102-AVERAGE($R$2:$R$139))/STDEV($R$2:$R$139))*'Weights &amp; Params'!$B$14</f>
        <v/>
      </c>
    </row>
    <row r="103">
      <c r="A103" s="12">
        <f>RANK(O103,$O$2:$O$139,0)</f>
        <v/>
      </c>
      <c r="B103" s="30" t="inlineStr">
        <is>
          <t>Stanford</t>
        </is>
      </c>
      <c r="C103" s="23">
        <f>INDEX('Auto Feed'!$B$2:$B$139,MATCH($B103,'Auto Feed'!$A$2:$A$139,0))</f>
        <v/>
      </c>
      <c r="D103" s="31">
        <f>INDEX('Weekly Input'!$B$2:$B$139,MATCH($B103,'Weekly Input'!$A$2:$A$139,0))</f>
        <v/>
      </c>
      <c r="E103" s="31">
        <f>INDEX('Auto Feed'!$C$2:$C$139,MATCH($B103,'Auto Feed'!$A$2:$A$139,0))</f>
        <v/>
      </c>
      <c r="F103" s="31">
        <f>INDEX('Auto Feed'!$D$2:$D$139,MATCH($B103,'Auto Feed'!$A$2:$A$139,0))</f>
        <v/>
      </c>
      <c r="G103" s="51">
        <f>INDEX('Auto Feed'!$E$2:$E$139,MATCH($B103,'Auto Feed'!$A$2:$A$139,0))</f>
        <v/>
      </c>
      <c r="H103" s="51">
        <f>INDEX('Auto Feed'!$F$2:$F$139,MATCH($B103,'Auto Feed'!$A$2:$A$139,0))</f>
        <v/>
      </c>
      <c r="I103" s="51">
        <f>INDEX('Auto Feed'!$G$2:$G$139,MATCH($B103,'Auto Feed'!$A$2:$A$139,0))</f>
        <v/>
      </c>
      <c r="J103" s="51">
        <f>INDEX('Auto Feed'!$H$2:$H$139,MATCH($B103,'Auto Feed'!$A$2:$A$139,0))</f>
        <v/>
      </c>
      <c r="K103" s="32">
        <f>((G103-AVERAGE('Auto Feed'!$E$2:$E$139))/STDEV('Auto Feed'!$E$2:$E$139))+((H103-AVERAGE('Auto Feed'!$F$2:$F$139))/STDEV('Auto Feed'!$F$2:$F$139))+((I103-AVERAGE('Auto Feed'!$G$2:$G$139))/STDEV('Auto Feed'!$G$2:$G$139))-((J103-AVERAGE('Auto Feed'!$H$2:$H$139))/STDEV('Auto Feed'!$H$2:$H$139))</f>
        <v/>
      </c>
      <c r="L103" s="31">
        <f>((E103-AVERAGE('Auto Feed'!$C$2:$C$139))/STDEV('Auto Feed'!$C$2:$C$139))*'Weights &amp; Params'!$B$14</f>
        <v/>
      </c>
      <c r="M103" s="31">
        <f>((F103-AVERAGE('Auto Feed'!$D$2:$D$139))/STDEV('Auto Feed'!$D$2:$D$139))*'Weights &amp; Params'!$B$14</f>
        <v/>
      </c>
      <c r="N103" s="31">
        <f>((K103-AVERAGE($K$2:$K$139))/STDEV($K$2:$K$139))*'Weights &amp; Params'!$B$14</f>
        <v/>
      </c>
      <c r="O103" s="33">
        <f>'Weights &amp; Params'!$B$5*D103+'Weights &amp; Params'!$B$6*L103+'Weights &amp; Params'!$B$7*M103+'Weights &amp; Params'!$B$8*N103+'Weights &amp; Params'!$B$17*S103</f>
        <v/>
      </c>
      <c r="P103" s="54">
        <f>INDEX('Auto Feed'!$I$2:$I$139,MATCH($B103,'Auto Feed'!$A$2:$A$139,0))</f>
        <v/>
      </c>
      <c r="Q103" s="54">
        <f>INDEX('Auto Feed'!$J$2:$J$139,MATCH($B103,'Auto Feed'!$A$2:$A$139,0))</f>
        <v/>
      </c>
      <c r="R103" s="54">
        <f>((P103-AVERAGE('Auto Feed'!$I$2:$I$139))/STDEV('Auto Feed'!$I$2:$I$139))-((Q103-AVERAGE('Auto Feed'!$J$2:$J$139))/STDEV('Auto Feed'!$J$2:$J$139))</f>
        <v/>
      </c>
      <c r="S103" s="54">
        <f>((R103-AVERAGE($R$2:$R$139))/STDEV($R$2:$R$139))*'Weights &amp; Params'!$B$14</f>
        <v/>
      </c>
    </row>
    <row r="104">
      <c r="A104" s="12">
        <f>RANK(O104,$O$2:$O$139,0)</f>
        <v/>
      </c>
      <c r="B104" s="30" t="inlineStr">
        <is>
          <t>Syracuse</t>
        </is>
      </c>
      <c r="C104" s="23">
        <f>INDEX('Auto Feed'!$B$2:$B$139,MATCH($B104,'Auto Feed'!$A$2:$A$139,0))</f>
        <v/>
      </c>
      <c r="D104" s="31">
        <f>INDEX('Weekly Input'!$B$2:$B$139,MATCH($B104,'Weekly Input'!$A$2:$A$139,0))</f>
        <v/>
      </c>
      <c r="E104" s="31">
        <f>INDEX('Auto Feed'!$C$2:$C$139,MATCH($B104,'Auto Feed'!$A$2:$A$139,0))</f>
        <v/>
      </c>
      <c r="F104" s="31">
        <f>INDEX('Auto Feed'!$D$2:$D$139,MATCH($B104,'Auto Feed'!$A$2:$A$139,0))</f>
        <v/>
      </c>
      <c r="G104" s="51">
        <f>INDEX('Auto Feed'!$E$2:$E$139,MATCH($B104,'Auto Feed'!$A$2:$A$139,0))</f>
        <v/>
      </c>
      <c r="H104" s="51">
        <f>INDEX('Auto Feed'!$F$2:$F$139,MATCH($B104,'Auto Feed'!$A$2:$A$139,0))</f>
        <v/>
      </c>
      <c r="I104" s="51">
        <f>INDEX('Auto Feed'!$G$2:$G$139,MATCH($B104,'Auto Feed'!$A$2:$A$139,0))</f>
        <v/>
      </c>
      <c r="J104" s="51">
        <f>INDEX('Auto Feed'!$H$2:$H$139,MATCH($B104,'Auto Feed'!$A$2:$A$139,0))</f>
        <v/>
      </c>
      <c r="K104" s="32">
        <f>((G104-AVERAGE('Auto Feed'!$E$2:$E$139))/STDEV('Auto Feed'!$E$2:$E$139))+((H104-AVERAGE('Auto Feed'!$F$2:$F$139))/STDEV('Auto Feed'!$F$2:$F$139))+((I104-AVERAGE('Auto Feed'!$G$2:$G$139))/STDEV('Auto Feed'!$G$2:$G$139))-((J104-AVERAGE('Auto Feed'!$H$2:$H$139))/STDEV('Auto Feed'!$H$2:$H$139))</f>
        <v/>
      </c>
      <c r="L104" s="31">
        <f>((E104-AVERAGE('Auto Feed'!$C$2:$C$139))/STDEV('Auto Feed'!$C$2:$C$139))*'Weights &amp; Params'!$B$14</f>
        <v/>
      </c>
      <c r="M104" s="31">
        <f>((F104-AVERAGE('Auto Feed'!$D$2:$D$139))/STDEV('Auto Feed'!$D$2:$D$139))*'Weights &amp; Params'!$B$14</f>
        <v/>
      </c>
      <c r="N104" s="31">
        <f>((K104-AVERAGE($K$2:$K$139))/STDEV($K$2:$K$139))*'Weights &amp; Params'!$B$14</f>
        <v/>
      </c>
      <c r="O104" s="33">
        <f>'Weights &amp; Params'!$B$5*D104+'Weights &amp; Params'!$B$6*L104+'Weights &amp; Params'!$B$7*M104+'Weights &amp; Params'!$B$8*N104+'Weights &amp; Params'!$B$17*S104</f>
        <v/>
      </c>
      <c r="P104" s="54">
        <f>INDEX('Auto Feed'!$I$2:$I$139,MATCH($B104,'Auto Feed'!$A$2:$A$139,0))</f>
        <v/>
      </c>
      <c r="Q104" s="54">
        <f>INDEX('Auto Feed'!$J$2:$J$139,MATCH($B104,'Auto Feed'!$A$2:$A$139,0))</f>
        <v/>
      </c>
      <c r="R104" s="54">
        <f>((P104-AVERAGE('Auto Feed'!$I$2:$I$139))/STDEV('Auto Feed'!$I$2:$I$139))-((Q104-AVERAGE('Auto Feed'!$J$2:$J$139))/STDEV('Auto Feed'!$J$2:$J$139))</f>
        <v/>
      </c>
      <c r="S104" s="54">
        <f>((R104-AVERAGE($R$2:$R$139))/STDEV($R$2:$R$139))*'Weights &amp; Params'!$B$14</f>
        <v/>
      </c>
    </row>
    <row r="105">
      <c r="A105" s="12">
        <f>RANK(O105,$O$2:$O$139,0)</f>
        <v/>
      </c>
      <c r="B105" s="30" t="inlineStr">
        <is>
          <t>TCU</t>
        </is>
      </c>
      <c r="C105" s="23">
        <f>INDEX('Auto Feed'!$B$2:$B$139,MATCH($B105,'Auto Feed'!$A$2:$A$139,0))</f>
        <v/>
      </c>
      <c r="D105" s="31">
        <f>INDEX('Weekly Input'!$B$2:$B$139,MATCH($B105,'Weekly Input'!$A$2:$A$139,0))</f>
        <v/>
      </c>
      <c r="E105" s="31">
        <f>INDEX('Auto Feed'!$C$2:$C$139,MATCH($B105,'Auto Feed'!$A$2:$A$139,0))</f>
        <v/>
      </c>
      <c r="F105" s="31">
        <f>INDEX('Auto Feed'!$D$2:$D$139,MATCH($B105,'Auto Feed'!$A$2:$A$139,0))</f>
        <v/>
      </c>
      <c r="G105" s="51">
        <f>INDEX('Auto Feed'!$E$2:$E$139,MATCH($B105,'Auto Feed'!$A$2:$A$139,0))</f>
        <v/>
      </c>
      <c r="H105" s="51">
        <f>INDEX('Auto Feed'!$F$2:$F$139,MATCH($B105,'Auto Feed'!$A$2:$A$139,0))</f>
        <v/>
      </c>
      <c r="I105" s="51">
        <f>INDEX('Auto Feed'!$G$2:$G$139,MATCH($B105,'Auto Feed'!$A$2:$A$139,0))</f>
        <v/>
      </c>
      <c r="J105" s="51">
        <f>INDEX('Auto Feed'!$H$2:$H$139,MATCH($B105,'Auto Feed'!$A$2:$A$139,0))</f>
        <v/>
      </c>
      <c r="K105" s="32">
        <f>((G105-AVERAGE('Auto Feed'!$E$2:$E$139))/STDEV('Auto Feed'!$E$2:$E$139))+((H105-AVERAGE('Auto Feed'!$F$2:$F$139))/STDEV('Auto Feed'!$F$2:$F$139))+((I105-AVERAGE('Auto Feed'!$G$2:$G$139))/STDEV('Auto Feed'!$G$2:$G$139))-((J105-AVERAGE('Auto Feed'!$H$2:$H$139))/STDEV('Auto Feed'!$H$2:$H$139))</f>
        <v/>
      </c>
      <c r="L105" s="31">
        <f>((E105-AVERAGE('Auto Feed'!$C$2:$C$139))/STDEV('Auto Feed'!$C$2:$C$139))*'Weights &amp; Params'!$B$14</f>
        <v/>
      </c>
      <c r="M105" s="31">
        <f>((F105-AVERAGE('Auto Feed'!$D$2:$D$139))/STDEV('Auto Feed'!$D$2:$D$139))*'Weights &amp; Params'!$B$14</f>
        <v/>
      </c>
      <c r="N105" s="31">
        <f>((K105-AVERAGE($K$2:$K$139))/STDEV($K$2:$K$139))*'Weights &amp; Params'!$B$14</f>
        <v/>
      </c>
      <c r="O105" s="33">
        <f>'Weights &amp; Params'!$B$5*D105+'Weights &amp; Params'!$B$6*L105+'Weights &amp; Params'!$B$7*M105+'Weights &amp; Params'!$B$8*N105+'Weights &amp; Params'!$B$17*S105</f>
        <v/>
      </c>
      <c r="P105" s="54">
        <f>INDEX('Auto Feed'!$I$2:$I$139,MATCH($B105,'Auto Feed'!$A$2:$A$139,0))</f>
        <v/>
      </c>
      <c r="Q105" s="54">
        <f>INDEX('Auto Feed'!$J$2:$J$139,MATCH($B105,'Auto Feed'!$A$2:$A$139,0))</f>
        <v/>
      </c>
      <c r="R105" s="54">
        <f>((P105-AVERAGE('Auto Feed'!$I$2:$I$139))/STDEV('Auto Feed'!$I$2:$I$139))-((Q105-AVERAGE('Auto Feed'!$J$2:$J$139))/STDEV('Auto Feed'!$J$2:$J$139))</f>
        <v/>
      </c>
      <c r="S105" s="54">
        <f>((R105-AVERAGE($R$2:$R$139))/STDEV($R$2:$R$139))*'Weights &amp; Params'!$B$14</f>
        <v/>
      </c>
    </row>
    <row r="106">
      <c r="A106" s="12">
        <f>RANK(O106,$O$2:$O$139,0)</f>
        <v/>
      </c>
      <c r="B106" s="30" t="inlineStr">
        <is>
          <t>Temple</t>
        </is>
      </c>
      <c r="C106" s="23">
        <f>INDEX('Auto Feed'!$B$2:$B$139,MATCH($B106,'Auto Feed'!$A$2:$A$139,0))</f>
        <v/>
      </c>
      <c r="D106" s="31">
        <f>INDEX('Weekly Input'!$B$2:$B$139,MATCH($B106,'Weekly Input'!$A$2:$A$139,0))</f>
        <v/>
      </c>
      <c r="E106" s="31">
        <f>INDEX('Auto Feed'!$C$2:$C$139,MATCH($B106,'Auto Feed'!$A$2:$A$139,0))</f>
        <v/>
      </c>
      <c r="F106" s="31">
        <f>INDEX('Auto Feed'!$D$2:$D$139,MATCH($B106,'Auto Feed'!$A$2:$A$139,0))</f>
        <v/>
      </c>
      <c r="G106" s="51">
        <f>INDEX('Auto Feed'!$E$2:$E$139,MATCH($B106,'Auto Feed'!$A$2:$A$139,0))</f>
        <v/>
      </c>
      <c r="H106" s="51">
        <f>INDEX('Auto Feed'!$F$2:$F$139,MATCH($B106,'Auto Feed'!$A$2:$A$139,0))</f>
        <v/>
      </c>
      <c r="I106" s="51">
        <f>INDEX('Auto Feed'!$G$2:$G$139,MATCH($B106,'Auto Feed'!$A$2:$A$139,0))</f>
        <v/>
      </c>
      <c r="J106" s="51">
        <f>INDEX('Auto Feed'!$H$2:$H$139,MATCH($B106,'Auto Feed'!$A$2:$A$139,0))</f>
        <v/>
      </c>
      <c r="K106" s="32">
        <f>((G106-AVERAGE('Auto Feed'!$E$2:$E$139))/STDEV('Auto Feed'!$E$2:$E$139))+((H106-AVERAGE('Auto Feed'!$F$2:$F$139))/STDEV('Auto Feed'!$F$2:$F$139))+((I106-AVERAGE('Auto Feed'!$G$2:$G$139))/STDEV('Auto Feed'!$G$2:$G$139))-((J106-AVERAGE('Auto Feed'!$H$2:$H$139))/STDEV('Auto Feed'!$H$2:$H$139))</f>
        <v/>
      </c>
      <c r="L106" s="31">
        <f>((E106-AVERAGE('Auto Feed'!$C$2:$C$139))/STDEV('Auto Feed'!$C$2:$C$139))*'Weights &amp; Params'!$B$14</f>
        <v/>
      </c>
      <c r="M106" s="31">
        <f>((F106-AVERAGE('Auto Feed'!$D$2:$D$139))/STDEV('Auto Feed'!$D$2:$D$139))*'Weights &amp; Params'!$B$14</f>
        <v/>
      </c>
      <c r="N106" s="31">
        <f>((K106-AVERAGE($K$2:$K$139))/STDEV($K$2:$K$139))*'Weights &amp; Params'!$B$14</f>
        <v/>
      </c>
      <c r="O106" s="33">
        <f>'Weights &amp; Params'!$B$5*D106+'Weights &amp; Params'!$B$6*L106+'Weights &amp; Params'!$B$7*M106+'Weights &amp; Params'!$B$8*N106+'Weights &amp; Params'!$B$17*S106</f>
        <v/>
      </c>
      <c r="P106" s="54">
        <f>INDEX('Auto Feed'!$I$2:$I$139,MATCH($B106,'Auto Feed'!$A$2:$A$139,0))</f>
        <v/>
      </c>
      <c r="Q106" s="54">
        <f>INDEX('Auto Feed'!$J$2:$J$139,MATCH($B106,'Auto Feed'!$A$2:$A$139,0))</f>
        <v/>
      </c>
      <c r="R106" s="54">
        <f>((P106-AVERAGE('Auto Feed'!$I$2:$I$139))/STDEV('Auto Feed'!$I$2:$I$139))-((Q106-AVERAGE('Auto Feed'!$J$2:$J$139))/STDEV('Auto Feed'!$J$2:$J$139))</f>
        <v/>
      </c>
      <c r="S106" s="54">
        <f>((R106-AVERAGE($R$2:$R$139))/STDEV($R$2:$R$139))*'Weights &amp; Params'!$B$14</f>
        <v/>
      </c>
    </row>
    <row r="107">
      <c r="A107" s="12">
        <f>RANK(O107,$O$2:$O$139,0)</f>
        <v/>
      </c>
      <c r="B107" s="30" t="inlineStr">
        <is>
          <t>Tennessee</t>
        </is>
      </c>
      <c r="C107" s="23">
        <f>INDEX('Auto Feed'!$B$2:$B$139,MATCH($B107,'Auto Feed'!$A$2:$A$139,0))</f>
        <v/>
      </c>
      <c r="D107" s="31">
        <f>INDEX('Weekly Input'!$B$2:$B$139,MATCH($B107,'Weekly Input'!$A$2:$A$139,0))</f>
        <v/>
      </c>
      <c r="E107" s="31">
        <f>INDEX('Auto Feed'!$C$2:$C$139,MATCH($B107,'Auto Feed'!$A$2:$A$139,0))</f>
        <v/>
      </c>
      <c r="F107" s="31">
        <f>INDEX('Auto Feed'!$D$2:$D$139,MATCH($B107,'Auto Feed'!$A$2:$A$139,0))</f>
        <v/>
      </c>
      <c r="G107" s="51">
        <f>INDEX('Auto Feed'!$E$2:$E$139,MATCH($B107,'Auto Feed'!$A$2:$A$139,0))</f>
        <v/>
      </c>
      <c r="H107" s="51">
        <f>INDEX('Auto Feed'!$F$2:$F$139,MATCH($B107,'Auto Feed'!$A$2:$A$139,0))</f>
        <v/>
      </c>
      <c r="I107" s="51">
        <f>INDEX('Auto Feed'!$G$2:$G$139,MATCH($B107,'Auto Feed'!$A$2:$A$139,0))</f>
        <v/>
      </c>
      <c r="J107" s="51">
        <f>INDEX('Auto Feed'!$H$2:$H$139,MATCH($B107,'Auto Feed'!$A$2:$A$139,0))</f>
        <v/>
      </c>
      <c r="K107" s="32">
        <f>((G107-AVERAGE('Auto Feed'!$E$2:$E$139))/STDEV('Auto Feed'!$E$2:$E$139))+((H107-AVERAGE('Auto Feed'!$F$2:$F$139))/STDEV('Auto Feed'!$F$2:$F$139))+((I107-AVERAGE('Auto Feed'!$G$2:$G$139))/STDEV('Auto Feed'!$G$2:$G$139))-((J107-AVERAGE('Auto Feed'!$H$2:$H$139))/STDEV('Auto Feed'!$H$2:$H$139))</f>
        <v/>
      </c>
      <c r="L107" s="31">
        <f>((E107-AVERAGE('Auto Feed'!$C$2:$C$139))/STDEV('Auto Feed'!$C$2:$C$139))*'Weights &amp; Params'!$B$14</f>
        <v/>
      </c>
      <c r="M107" s="31">
        <f>((F107-AVERAGE('Auto Feed'!$D$2:$D$139))/STDEV('Auto Feed'!$D$2:$D$139))*'Weights &amp; Params'!$B$14</f>
        <v/>
      </c>
      <c r="N107" s="31">
        <f>((K107-AVERAGE($K$2:$K$139))/STDEV($K$2:$K$139))*'Weights &amp; Params'!$B$14</f>
        <v/>
      </c>
      <c r="O107" s="33">
        <f>'Weights &amp; Params'!$B$5*D107+'Weights &amp; Params'!$B$6*L107+'Weights &amp; Params'!$B$7*M107+'Weights &amp; Params'!$B$8*N107+'Weights &amp; Params'!$B$17*S107</f>
        <v/>
      </c>
      <c r="P107" s="54">
        <f>INDEX('Auto Feed'!$I$2:$I$139,MATCH($B107,'Auto Feed'!$A$2:$A$139,0))</f>
        <v/>
      </c>
      <c r="Q107" s="54">
        <f>INDEX('Auto Feed'!$J$2:$J$139,MATCH($B107,'Auto Feed'!$A$2:$A$139,0))</f>
        <v/>
      </c>
      <c r="R107" s="54">
        <f>((P107-AVERAGE('Auto Feed'!$I$2:$I$139))/STDEV('Auto Feed'!$I$2:$I$139))-((Q107-AVERAGE('Auto Feed'!$J$2:$J$139))/STDEV('Auto Feed'!$J$2:$J$139))</f>
        <v/>
      </c>
      <c r="S107" s="54">
        <f>((R107-AVERAGE($R$2:$R$139))/STDEV($R$2:$R$139))*'Weights &amp; Params'!$B$14</f>
        <v/>
      </c>
    </row>
    <row r="108">
      <c r="A108" s="12">
        <f>RANK(O108,$O$2:$O$139,0)</f>
        <v/>
      </c>
      <c r="B108" s="30" t="inlineStr">
        <is>
          <t>Texas</t>
        </is>
      </c>
      <c r="C108" s="23">
        <f>INDEX('Auto Feed'!$B$2:$B$139,MATCH($B108,'Auto Feed'!$A$2:$A$139,0))</f>
        <v/>
      </c>
      <c r="D108" s="31">
        <f>INDEX('Weekly Input'!$B$2:$B$139,MATCH($B108,'Weekly Input'!$A$2:$A$139,0))</f>
        <v/>
      </c>
      <c r="E108" s="31">
        <f>INDEX('Auto Feed'!$C$2:$C$139,MATCH($B108,'Auto Feed'!$A$2:$A$139,0))</f>
        <v/>
      </c>
      <c r="F108" s="31">
        <f>INDEX('Auto Feed'!$D$2:$D$139,MATCH($B108,'Auto Feed'!$A$2:$A$139,0))</f>
        <v/>
      </c>
      <c r="G108" s="51">
        <f>INDEX('Auto Feed'!$E$2:$E$139,MATCH($B108,'Auto Feed'!$A$2:$A$139,0))</f>
        <v/>
      </c>
      <c r="H108" s="51">
        <f>INDEX('Auto Feed'!$F$2:$F$139,MATCH($B108,'Auto Feed'!$A$2:$A$139,0))</f>
        <v/>
      </c>
      <c r="I108" s="51">
        <f>INDEX('Auto Feed'!$G$2:$G$139,MATCH($B108,'Auto Feed'!$A$2:$A$139,0))</f>
        <v/>
      </c>
      <c r="J108" s="51">
        <f>INDEX('Auto Feed'!$H$2:$H$139,MATCH($B108,'Auto Feed'!$A$2:$A$139,0))</f>
        <v/>
      </c>
      <c r="K108" s="32">
        <f>((G108-AVERAGE('Auto Feed'!$E$2:$E$139))/STDEV('Auto Feed'!$E$2:$E$139))+((H108-AVERAGE('Auto Feed'!$F$2:$F$139))/STDEV('Auto Feed'!$F$2:$F$139))+((I108-AVERAGE('Auto Feed'!$G$2:$G$139))/STDEV('Auto Feed'!$G$2:$G$139))-((J108-AVERAGE('Auto Feed'!$H$2:$H$139))/STDEV('Auto Feed'!$H$2:$H$139))</f>
        <v/>
      </c>
      <c r="L108" s="31">
        <f>((E108-AVERAGE('Auto Feed'!$C$2:$C$139))/STDEV('Auto Feed'!$C$2:$C$139))*'Weights &amp; Params'!$B$14</f>
        <v/>
      </c>
      <c r="M108" s="31">
        <f>((F108-AVERAGE('Auto Feed'!$D$2:$D$139))/STDEV('Auto Feed'!$D$2:$D$139))*'Weights &amp; Params'!$B$14</f>
        <v/>
      </c>
      <c r="N108" s="31">
        <f>((K108-AVERAGE($K$2:$K$139))/STDEV($K$2:$K$139))*'Weights &amp; Params'!$B$14</f>
        <v/>
      </c>
      <c r="O108" s="33">
        <f>'Weights &amp; Params'!$B$5*D108+'Weights &amp; Params'!$B$6*L108+'Weights &amp; Params'!$B$7*M108+'Weights &amp; Params'!$B$8*N108+'Weights &amp; Params'!$B$17*S108</f>
        <v/>
      </c>
      <c r="P108" s="54">
        <f>INDEX('Auto Feed'!$I$2:$I$139,MATCH($B108,'Auto Feed'!$A$2:$A$139,0))</f>
        <v/>
      </c>
      <c r="Q108" s="54">
        <f>INDEX('Auto Feed'!$J$2:$J$139,MATCH($B108,'Auto Feed'!$A$2:$A$139,0))</f>
        <v/>
      </c>
      <c r="R108" s="54">
        <f>((P108-AVERAGE('Auto Feed'!$I$2:$I$139))/STDEV('Auto Feed'!$I$2:$I$139))-((Q108-AVERAGE('Auto Feed'!$J$2:$J$139))/STDEV('Auto Feed'!$J$2:$J$139))</f>
        <v/>
      </c>
      <c r="S108" s="54">
        <f>((R108-AVERAGE($R$2:$R$139))/STDEV($R$2:$R$139))*'Weights &amp; Params'!$B$14</f>
        <v/>
      </c>
    </row>
    <row r="109">
      <c r="A109" s="12">
        <f>RANK(O109,$O$2:$O$139,0)</f>
        <v/>
      </c>
      <c r="B109" s="30" t="inlineStr">
        <is>
          <t>Texas A&amp;M</t>
        </is>
      </c>
      <c r="C109" s="23">
        <f>INDEX('Auto Feed'!$B$2:$B$139,MATCH($B109,'Auto Feed'!$A$2:$A$139,0))</f>
        <v/>
      </c>
      <c r="D109" s="31">
        <f>INDEX('Weekly Input'!$B$2:$B$139,MATCH($B109,'Weekly Input'!$A$2:$A$139,0))</f>
        <v/>
      </c>
      <c r="E109" s="31">
        <f>INDEX('Auto Feed'!$C$2:$C$139,MATCH($B109,'Auto Feed'!$A$2:$A$139,0))</f>
        <v/>
      </c>
      <c r="F109" s="31">
        <f>INDEX('Auto Feed'!$D$2:$D$139,MATCH($B109,'Auto Feed'!$A$2:$A$139,0))</f>
        <v/>
      </c>
      <c r="G109" s="51">
        <f>INDEX('Auto Feed'!$E$2:$E$139,MATCH($B109,'Auto Feed'!$A$2:$A$139,0))</f>
        <v/>
      </c>
      <c r="H109" s="51">
        <f>INDEX('Auto Feed'!$F$2:$F$139,MATCH($B109,'Auto Feed'!$A$2:$A$139,0))</f>
        <v/>
      </c>
      <c r="I109" s="51">
        <f>INDEX('Auto Feed'!$G$2:$G$139,MATCH($B109,'Auto Feed'!$A$2:$A$139,0))</f>
        <v/>
      </c>
      <c r="J109" s="51">
        <f>INDEX('Auto Feed'!$H$2:$H$139,MATCH($B109,'Auto Feed'!$A$2:$A$139,0))</f>
        <v/>
      </c>
      <c r="K109" s="32">
        <f>((G109-AVERAGE('Auto Feed'!$E$2:$E$139))/STDEV('Auto Feed'!$E$2:$E$139))+((H109-AVERAGE('Auto Feed'!$F$2:$F$139))/STDEV('Auto Feed'!$F$2:$F$139))+((I109-AVERAGE('Auto Feed'!$G$2:$G$139))/STDEV('Auto Feed'!$G$2:$G$139))-((J109-AVERAGE('Auto Feed'!$H$2:$H$139))/STDEV('Auto Feed'!$H$2:$H$139))</f>
        <v/>
      </c>
      <c r="L109" s="31">
        <f>((E109-AVERAGE('Auto Feed'!$C$2:$C$139))/STDEV('Auto Feed'!$C$2:$C$139))*'Weights &amp; Params'!$B$14</f>
        <v/>
      </c>
      <c r="M109" s="31">
        <f>((F109-AVERAGE('Auto Feed'!$D$2:$D$139))/STDEV('Auto Feed'!$D$2:$D$139))*'Weights &amp; Params'!$B$14</f>
        <v/>
      </c>
      <c r="N109" s="31">
        <f>((K109-AVERAGE($K$2:$K$139))/STDEV($K$2:$K$139))*'Weights &amp; Params'!$B$14</f>
        <v/>
      </c>
      <c r="O109" s="33">
        <f>'Weights &amp; Params'!$B$5*D109+'Weights &amp; Params'!$B$6*L109+'Weights &amp; Params'!$B$7*M109+'Weights &amp; Params'!$B$8*N109+'Weights &amp; Params'!$B$17*S109</f>
        <v/>
      </c>
      <c r="P109" s="54">
        <f>INDEX('Auto Feed'!$I$2:$I$139,MATCH($B109,'Auto Feed'!$A$2:$A$139,0))</f>
        <v/>
      </c>
      <c r="Q109" s="54">
        <f>INDEX('Auto Feed'!$J$2:$J$139,MATCH($B109,'Auto Feed'!$A$2:$A$139,0))</f>
        <v/>
      </c>
      <c r="R109" s="54">
        <f>((P109-AVERAGE('Auto Feed'!$I$2:$I$139))/STDEV('Auto Feed'!$I$2:$I$139))-((Q109-AVERAGE('Auto Feed'!$J$2:$J$139))/STDEV('Auto Feed'!$J$2:$J$139))</f>
        <v/>
      </c>
      <c r="S109" s="54">
        <f>((R109-AVERAGE($R$2:$R$139))/STDEV($R$2:$R$139))*'Weights &amp; Params'!$B$14</f>
        <v/>
      </c>
    </row>
    <row r="110">
      <c r="A110" s="12">
        <f>RANK(O110,$O$2:$O$139,0)</f>
        <v/>
      </c>
      <c r="B110" s="30" t="inlineStr">
        <is>
          <t>Texas State</t>
        </is>
      </c>
      <c r="C110" s="23">
        <f>INDEX('Auto Feed'!$B$2:$B$139,MATCH($B110,'Auto Feed'!$A$2:$A$139,0))</f>
        <v/>
      </c>
      <c r="D110" s="31">
        <f>INDEX('Weekly Input'!$B$2:$B$139,MATCH($B110,'Weekly Input'!$A$2:$A$139,0))</f>
        <v/>
      </c>
      <c r="E110" s="31">
        <f>INDEX('Auto Feed'!$C$2:$C$139,MATCH($B110,'Auto Feed'!$A$2:$A$139,0))</f>
        <v/>
      </c>
      <c r="F110" s="31">
        <f>INDEX('Auto Feed'!$D$2:$D$139,MATCH($B110,'Auto Feed'!$A$2:$A$139,0))</f>
        <v/>
      </c>
      <c r="G110" s="51">
        <f>INDEX('Auto Feed'!$E$2:$E$139,MATCH($B110,'Auto Feed'!$A$2:$A$139,0))</f>
        <v/>
      </c>
      <c r="H110" s="51">
        <f>INDEX('Auto Feed'!$F$2:$F$139,MATCH($B110,'Auto Feed'!$A$2:$A$139,0))</f>
        <v/>
      </c>
      <c r="I110" s="51">
        <f>INDEX('Auto Feed'!$G$2:$G$139,MATCH($B110,'Auto Feed'!$A$2:$A$139,0))</f>
        <v/>
      </c>
      <c r="J110" s="51">
        <f>INDEX('Auto Feed'!$H$2:$H$139,MATCH($B110,'Auto Feed'!$A$2:$A$139,0))</f>
        <v/>
      </c>
      <c r="K110" s="32">
        <f>((G110-AVERAGE('Auto Feed'!$E$2:$E$139))/STDEV('Auto Feed'!$E$2:$E$139))+((H110-AVERAGE('Auto Feed'!$F$2:$F$139))/STDEV('Auto Feed'!$F$2:$F$139))+((I110-AVERAGE('Auto Feed'!$G$2:$G$139))/STDEV('Auto Feed'!$G$2:$G$139))-((J110-AVERAGE('Auto Feed'!$H$2:$H$139))/STDEV('Auto Feed'!$H$2:$H$139))</f>
        <v/>
      </c>
      <c r="L110" s="31">
        <f>((E110-AVERAGE('Auto Feed'!$C$2:$C$139))/STDEV('Auto Feed'!$C$2:$C$139))*'Weights &amp; Params'!$B$14</f>
        <v/>
      </c>
      <c r="M110" s="31">
        <f>((F110-AVERAGE('Auto Feed'!$D$2:$D$139))/STDEV('Auto Feed'!$D$2:$D$139))*'Weights &amp; Params'!$B$14</f>
        <v/>
      </c>
      <c r="N110" s="31">
        <f>((K110-AVERAGE($K$2:$K$139))/STDEV($K$2:$K$139))*'Weights &amp; Params'!$B$14</f>
        <v/>
      </c>
      <c r="O110" s="33">
        <f>'Weights &amp; Params'!$B$5*D110+'Weights &amp; Params'!$B$6*L110+'Weights &amp; Params'!$B$7*M110+'Weights &amp; Params'!$B$8*N110+'Weights &amp; Params'!$B$17*S110</f>
        <v/>
      </c>
      <c r="P110" s="54">
        <f>INDEX('Auto Feed'!$I$2:$I$139,MATCH($B110,'Auto Feed'!$A$2:$A$139,0))</f>
        <v/>
      </c>
      <c r="Q110" s="54">
        <f>INDEX('Auto Feed'!$J$2:$J$139,MATCH($B110,'Auto Feed'!$A$2:$A$139,0))</f>
        <v/>
      </c>
      <c r="R110" s="54">
        <f>((P110-AVERAGE('Auto Feed'!$I$2:$I$139))/STDEV('Auto Feed'!$I$2:$I$139))-((Q110-AVERAGE('Auto Feed'!$J$2:$J$139))/STDEV('Auto Feed'!$J$2:$J$139))</f>
        <v/>
      </c>
      <c r="S110" s="54">
        <f>((R110-AVERAGE($R$2:$R$139))/STDEV($R$2:$R$139))*'Weights &amp; Params'!$B$14</f>
        <v/>
      </c>
    </row>
    <row r="111">
      <c r="A111" s="12">
        <f>RANK(O111,$O$2:$O$139,0)</f>
        <v/>
      </c>
      <c r="B111" s="30" t="inlineStr">
        <is>
          <t>Texas Tech</t>
        </is>
      </c>
      <c r="C111" s="23">
        <f>INDEX('Auto Feed'!$B$2:$B$139,MATCH($B111,'Auto Feed'!$A$2:$A$139,0))</f>
        <v/>
      </c>
      <c r="D111" s="31">
        <f>INDEX('Weekly Input'!$B$2:$B$139,MATCH($B111,'Weekly Input'!$A$2:$A$139,0))</f>
        <v/>
      </c>
      <c r="E111" s="31">
        <f>INDEX('Auto Feed'!$C$2:$C$139,MATCH($B111,'Auto Feed'!$A$2:$A$139,0))</f>
        <v/>
      </c>
      <c r="F111" s="31">
        <f>INDEX('Auto Feed'!$D$2:$D$139,MATCH($B111,'Auto Feed'!$A$2:$A$139,0))</f>
        <v/>
      </c>
      <c r="G111" s="51">
        <f>INDEX('Auto Feed'!$E$2:$E$139,MATCH($B111,'Auto Feed'!$A$2:$A$139,0))</f>
        <v/>
      </c>
      <c r="H111" s="51">
        <f>INDEX('Auto Feed'!$F$2:$F$139,MATCH($B111,'Auto Feed'!$A$2:$A$139,0))</f>
        <v/>
      </c>
      <c r="I111" s="51">
        <f>INDEX('Auto Feed'!$G$2:$G$139,MATCH($B111,'Auto Feed'!$A$2:$A$139,0))</f>
        <v/>
      </c>
      <c r="J111" s="51">
        <f>INDEX('Auto Feed'!$H$2:$H$139,MATCH($B111,'Auto Feed'!$A$2:$A$139,0))</f>
        <v/>
      </c>
      <c r="K111" s="32">
        <f>((G111-AVERAGE('Auto Feed'!$E$2:$E$139))/STDEV('Auto Feed'!$E$2:$E$139))+((H111-AVERAGE('Auto Feed'!$F$2:$F$139))/STDEV('Auto Feed'!$F$2:$F$139))+((I111-AVERAGE('Auto Feed'!$G$2:$G$139))/STDEV('Auto Feed'!$G$2:$G$139))-((J111-AVERAGE('Auto Feed'!$H$2:$H$139))/STDEV('Auto Feed'!$H$2:$H$139))</f>
        <v/>
      </c>
      <c r="L111" s="31">
        <f>((E111-AVERAGE('Auto Feed'!$C$2:$C$139))/STDEV('Auto Feed'!$C$2:$C$139))*'Weights &amp; Params'!$B$14</f>
        <v/>
      </c>
      <c r="M111" s="31">
        <f>((F111-AVERAGE('Auto Feed'!$D$2:$D$139))/STDEV('Auto Feed'!$D$2:$D$139))*'Weights &amp; Params'!$B$14</f>
        <v/>
      </c>
      <c r="N111" s="31">
        <f>((K111-AVERAGE($K$2:$K$139))/STDEV($K$2:$K$139))*'Weights &amp; Params'!$B$14</f>
        <v/>
      </c>
      <c r="O111" s="33">
        <f>'Weights &amp; Params'!$B$5*D111+'Weights &amp; Params'!$B$6*L111+'Weights &amp; Params'!$B$7*M111+'Weights &amp; Params'!$B$8*N111+'Weights &amp; Params'!$B$17*S111</f>
        <v/>
      </c>
      <c r="P111" s="54">
        <f>INDEX('Auto Feed'!$I$2:$I$139,MATCH($B111,'Auto Feed'!$A$2:$A$139,0))</f>
        <v/>
      </c>
      <c r="Q111" s="54">
        <f>INDEX('Auto Feed'!$J$2:$J$139,MATCH($B111,'Auto Feed'!$A$2:$A$139,0))</f>
        <v/>
      </c>
      <c r="R111" s="54">
        <f>((P111-AVERAGE('Auto Feed'!$I$2:$I$139))/STDEV('Auto Feed'!$I$2:$I$139))-((Q111-AVERAGE('Auto Feed'!$J$2:$J$139))/STDEV('Auto Feed'!$J$2:$J$139))</f>
        <v/>
      </c>
      <c r="S111" s="54">
        <f>((R111-AVERAGE($R$2:$R$139))/STDEV($R$2:$R$139))*'Weights &amp; Params'!$B$14</f>
        <v/>
      </c>
    </row>
    <row r="112">
      <c r="A112" s="12">
        <f>RANK(O112,$O$2:$O$139,0)</f>
        <v/>
      </c>
      <c r="B112" s="30" t="inlineStr">
        <is>
          <t>Toledo</t>
        </is>
      </c>
      <c r="C112" s="23">
        <f>INDEX('Auto Feed'!$B$2:$B$139,MATCH($B112,'Auto Feed'!$A$2:$A$139,0))</f>
        <v/>
      </c>
      <c r="D112" s="31">
        <f>INDEX('Weekly Input'!$B$2:$B$139,MATCH($B112,'Weekly Input'!$A$2:$A$139,0))</f>
        <v/>
      </c>
      <c r="E112" s="31">
        <f>INDEX('Auto Feed'!$C$2:$C$139,MATCH($B112,'Auto Feed'!$A$2:$A$139,0))</f>
        <v/>
      </c>
      <c r="F112" s="31">
        <f>INDEX('Auto Feed'!$D$2:$D$139,MATCH($B112,'Auto Feed'!$A$2:$A$139,0))</f>
        <v/>
      </c>
      <c r="G112" s="51">
        <f>INDEX('Auto Feed'!$E$2:$E$139,MATCH($B112,'Auto Feed'!$A$2:$A$139,0))</f>
        <v/>
      </c>
      <c r="H112" s="51">
        <f>INDEX('Auto Feed'!$F$2:$F$139,MATCH($B112,'Auto Feed'!$A$2:$A$139,0))</f>
        <v/>
      </c>
      <c r="I112" s="51">
        <f>INDEX('Auto Feed'!$G$2:$G$139,MATCH($B112,'Auto Feed'!$A$2:$A$139,0))</f>
        <v/>
      </c>
      <c r="J112" s="51">
        <f>INDEX('Auto Feed'!$H$2:$H$139,MATCH($B112,'Auto Feed'!$A$2:$A$139,0))</f>
        <v/>
      </c>
      <c r="K112" s="32">
        <f>((G112-AVERAGE('Auto Feed'!$E$2:$E$139))/STDEV('Auto Feed'!$E$2:$E$139))+((H112-AVERAGE('Auto Feed'!$F$2:$F$139))/STDEV('Auto Feed'!$F$2:$F$139))+((I112-AVERAGE('Auto Feed'!$G$2:$G$139))/STDEV('Auto Feed'!$G$2:$G$139))-((J112-AVERAGE('Auto Feed'!$H$2:$H$139))/STDEV('Auto Feed'!$H$2:$H$139))</f>
        <v/>
      </c>
      <c r="L112" s="31">
        <f>((E112-AVERAGE('Auto Feed'!$C$2:$C$139))/STDEV('Auto Feed'!$C$2:$C$139))*'Weights &amp; Params'!$B$14</f>
        <v/>
      </c>
      <c r="M112" s="31">
        <f>((F112-AVERAGE('Auto Feed'!$D$2:$D$139))/STDEV('Auto Feed'!$D$2:$D$139))*'Weights &amp; Params'!$B$14</f>
        <v/>
      </c>
      <c r="N112" s="31">
        <f>((K112-AVERAGE($K$2:$K$139))/STDEV($K$2:$K$139))*'Weights &amp; Params'!$B$14</f>
        <v/>
      </c>
      <c r="O112" s="33">
        <f>'Weights &amp; Params'!$B$5*D112+'Weights &amp; Params'!$B$6*L112+'Weights &amp; Params'!$B$7*M112+'Weights &amp; Params'!$B$8*N112+'Weights &amp; Params'!$B$17*S112</f>
        <v/>
      </c>
      <c r="P112" s="54">
        <f>INDEX('Auto Feed'!$I$2:$I$139,MATCH($B112,'Auto Feed'!$A$2:$A$139,0))</f>
        <v/>
      </c>
      <c r="Q112" s="54">
        <f>INDEX('Auto Feed'!$J$2:$J$139,MATCH($B112,'Auto Feed'!$A$2:$A$139,0))</f>
        <v/>
      </c>
      <c r="R112" s="54">
        <f>((P112-AVERAGE('Auto Feed'!$I$2:$I$139))/STDEV('Auto Feed'!$I$2:$I$139))-((Q112-AVERAGE('Auto Feed'!$J$2:$J$139))/STDEV('Auto Feed'!$J$2:$J$139))</f>
        <v/>
      </c>
      <c r="S112" s="54">
        <f>((R112-AVERAGE($R$2:$R$139))/STDEV($R$2:$R$139))*'Weights &amp; Params'!$B$14</f>
        <v/>
      </c>
    </row>
    <row r="113">
      <c r="A113" s="12">
        <f>RANK(O113,$O$2:$O$139,0)</f>
        <v/>
      </c>
      <c r="B113" s="30" t="inlineStr">
        <is>
          <t>Troy</t>
        </is>
      </c>
      <c r="C113" s="23">
        <f>INDEX('Auto Feed'!$B$2:$B$139,MATCH($B113,'Auto Feed'!$A$2:$A$139,0))</f>
        <v/>
      </c>
      <c r="D113" s="31">
        <f>INDEX('Weekly Input'!$B$2:$B$139,MATCH($B113,'Weekly Input'!$A$2:$A$139,0))</f>
        <v/>
      </c>
      <c r="E113" s="31">
        <f>INDEX('Auto Feed'!$C$2:$C$139,MATCH($B113,'Auto Feed'!$A$2:$A$139,0))</f>
        <v/>
      </c>
      <c r="F113" s="31">
        <f>INDEX('Auto Feed'!$D$2:$D$139,MATCH($B113,'Auto Feed'!$A$2:$A$139,0))</f>
        <v/>
      </c>
      <c r="G113" s="51">
        <f>INDEX('Auto Feed'!$E$2:$E$139,MATCH($B113,'Auto Feed'!$A$2:$A$139,0))</f>
        <v/>
      </c>
      <c r="H113" s="51">
        <f>INDEX('Auto Feed'!$F$2:$F$139,MATCH($B113,'Auto Feed'!$A$2:$A$139,0))</f>
        <v/>
      </c>
      <c r="I113" s="51">
        <f>INDEX('Auto Feed'!$G$2:$G$139,MATCH($B113,'Auto Feed'!$A$2:$A$139,0))</f>
        <v/>
      </c>
      <c r="J113" s="51">
        <f>INDEX('Auto Feed'!$H$2:$H$139,MATCH($B113,'Auto Feed'!$A$2:$A$139,0))</f>
        <v/>
      </c>
      <c r="K113" s="32">
        <f>((G113-AVERAGE('Auto Feed'!$E$2:$E$139))/STDEV('Auto Feed'!$E$2:$E$139))+((H113-AVERAGE('Auto Feed'!$F$2:$F$139))/STDEV('Auto Feed'!$F$2:$F$139))+((I113-AVERAGE('Auto Feed'!$G$2:$G$139))/STDEV('Auto Feed'!$G$2:$G$139))-((J113-AVERAGE('Auto Feed'!$H$2:$H$139))/STDEV('Auto Feed'!$H$2:$H$139))</f>
        <v/>
      </c>
      <c r="L113" s="31">
        <f>((E113-AVERAGE('Auto Feed'!$C$2:$C$139))/STDEV('Auto Feed'!$C$2:$C$139))*'Weights &amp; Params'!$B$14</f>
        <v/>
      </c>
      <c r="M113" s="31">
        <f>((F113-AVERAGE('Auto Feed'!$D$2:$D$139))/STDEV('Auto Feed'!$D$2:$D$139))*'Weights &amp; Params'!$B$14</f>
        <v/>
      </c>
      <c r="N113" s="31">
        <f>((K113-AVERAGE($K$2:$K$139))/STDEV($K$2:$K$139))*'Weights &amp; Params'!$B$14</f>
        <v/>
      </c>
      <c r="O113" s="33">
        <f>'Weights &amp; Params'!$B$5*D113+'Weights &amp; Params'!$B$6*L113+'Weights &amp; Params'!$B$7*M113+'Weights &amp; Params'!$B$8*N113+'Weights &amp; Params'!$B$17*S113</f>
        <v/>
      </c>
      <c r="P113" s="54">
        <f>INDEX('Auto Feed'!$I$2:$I$139,MATCH($B113,'Auto Feed'!$A$2:$A$139,0))</f>
        <v/>
      </c>
      <c r="Q113" s="54">
        <f>INDEX('Auto Feed'!$J$2:$J$139,MATCH($B113,'Auto Feed'!$A$2:$A$139,0))</f>
        <v/>
      </c>
      <c r="R113" s="54">
        <f>((P113-AVERAGE('Auto Feed'!$I$2:$I$139))/STDEV('Auto Feed'!$I$2:$I$139))-((Q113-AVERAGE('Auto Feed'!$J$2:$J$139))/STDEV('Auto Feed'!$J$2:$J$139))</f>
        <v/>
      </c>
      <c r="S113" s="54">
        <f>((R113-AVERAGE($R$2:$R$139))/STDEV($R$2:$R$139))*'Weights &amp; Params'!$B$14</f>
        <v/>
      </c>
    </row>
    <row r="114">
      <c r="A114" s="12">
        <f>RANK(O114,$O$2:$O$139,0)</f>
        <v/>
      </c>
      <c r="B114" s="30" t="inlineStr">
        <is>
          <t>Tulane</t>
        </is>
      </c>
      <c r="C114" s="23">
        <f>INDEX('Auto Feed'!$B$2:$B$139,MATCH($B114,'Auto Feed'!$A$2:$A$139,0))</f>
        <v/>
      </c>
      <c r="D114" s="31">
        <f>INDEX('Weekly Input'!$B$2:$B$139,MATCH($B114,'Weekly Input'!$A$2:$A$139,0))</f>
        <v/>
      </c>
      <c r="E114" s="31">
        <f>INDEX('Auto Feed'!$C$2:$C$139,MATCH($B114,'Auto Feed'!$A$2:$A$139,0))</f>
        <v/>
      </c>
      <c r="F114" s="31">
        <f>INDEX('Auto Feed'!$D$2:$D$139,MATCH($B114,'Auto Feed'!$A$2:$A$139,0))</f>
        <v/>
      </c>
      <c r="G114" s="51">
        <f>INDEX('Auto Feed'!$E$2:$E$139,MATCH($B114,'Auto Feed'!$A$2:$A$139,0))</f>
        <v/>
      </c>
      <c r="H114" s="51">
        <f>INDEX('Auto Feed'!$F$2:$F$139,MATCH($B114,'Auto Feed'!$A$2:$A$139,0))</f>
        <v/>
      </c>
      <c r="I114" s="51">
        <f>INDEX('Auto Feed'!$G$2:$G$139,MATCH($B114,'Auto Feed'!$A$2:$A$139,0))</f>
        <v/>
      </c>
      <c r="J114" s="51">
        <f>INDEX('Auto Feed'!$H$2:$H$139,MATCH($B114,'Auto Feed'!$A$2:$A$139,0))</f>
        <v/>
      </c>
      <c r="K114" s="32">
        <f>((G114-AVERAGE('Auto Feed'!$E$2:$E$139))/STDEV('Auto Feed'!$E$2:$E$139))+((H114-AVERAGE('Auto Feed'!$F$2:$F$139))/STDEV('Auto Feed'!$F$2:$F$139))+((I114-AVERAGE('Auto Feed'!$G$2:$G$139))/STDEV('Auto Feed'!$G$2:$G$139))-((J114-AVERAGE('Auto Feed'!$H$2:$H$139))/STDEV('Auto Feed'!$H$2:$H$139))</f>
        <v/>
      </c>
      <c r="L114" s="31">
        <f>((E114-AVERAGE('Auto Feed'!$C$2:$C$139))/STDEV('Auto Feed'!$C$2:$C$139))*'Weights &amp; Params'!$B$14</f>
        <v/>
      </c>
      <c r="M114" s="31">
        <f>((F114-AVERAGE('Auto Feed'!$D$2:$D$139))/STDEV('Auto Feed'!$D$2:$D$139))*'Weights &amp; Params'!$B$14</f>
        <v/>
      </c>
      <c r="N114" s="31">
        <f>((K114-AVERAGE($K$2:$K$139))/STDEV($K$2:$K$139))*'Weights &amp; Params'!$B$14</f>
        <v/>
      </c>
      <c r="O114" s="33">
        <f>'Weights &amp; Params'!$B$5*D114+'Weights &amp; Params'!$B$6*L114+'Weights &amp; Params'!$B$7*M114+'Weights &amp; Params'!$B$8*N114+'Weights &amp; Params'!$B$17*S114</f>
        <v/>
      </c>
      <c r="P114" s="54">
        <f>INDEX('Auto Feed'!$I$2:$I$139,MATCH($B114,'Auto Feed'!$A$2:$A$139,0))</f>
        <v/>
      </c>
      <c r="Q114" s="54">
        <f>INDEX('Auto Feed'!$J$2:$J$139,MATCH($B114,'Auto Feed'!$A$2:$A$139,0))</f>
        <v/>
      </c>
      <c r="R114" s="54">
        <f>((P114-AVERAGE('Auto Feed'!$I$2:$I$139))/STDEV('Auto Feed'!$I$2:$I$139))-((Q114-AVERAGE('Auto Feed'!$J$2:$J$139))/STDEV('Auto Feed'!$J$2:$J$139))</f>
        <v/>
      </c>
      <c r="S114" s="54">
        <f>((R114-AVERAGE($R$2:$R$139))/STDEV($R$2:$R$139))*'Weights &amp; Params'!$B$14</f>
        <v/>
      </c>
    </row>
    <row r="115">
      <c r="A115" s="12">
        <f>RANK(O115,$O$2:$O$139,0)</f>
        <v/>
      </c>
      <c r="B115" s="30" t="inlineStr">
        <is>
          <t>Tulsa</t>
        </is>
      </c>
      <c r="C115" s="23">
        <f>INDEX('Auto Feed'!$B$2:$B$139,MATCH($B115,'Auto Feed'!$A$2:$A$139,0))</f>
        <v/>
      </c>
      <c r="D115" s="31">
        <f>INDEX('Weekly Input'!$B$2:$B$139,MATCH($B115,'Weekly Input'!$A$2:$A$139,0))</f>
        <v/>
      </c>
      <c r="E115" s="31">
        <f>INDEX('Auto Feed'!$C$2:$C$139,MATCH($B115,'Auto Feed'!$A$2:$A$139,0))</f>
        <v/>
      </c>
      <c r="F115" s="31">
        <f>INDEX('Auto Feed'!$D$2:$D$139,MATCH($B115,'Auto Feed'!$A$2:$A$139,0))</f>
        <v/>
      </c>
      <c r="G115" s="51">
        <f>INDEX('Auto Feed'!$E$2:$E$139,MATCH($B115,'Auto Feed'!$A$2:$A$139,0))</f>
        <v/>
      </c>
      <c r="H115" s="51">
        <f>INDEX('Auto Feed'!$F$2:$F$139,MATCH($B115,'Auto Feed'!$A$2:$A$139,0))</f>
        <v/>
      </c>
      <c r="I115" s="51">
        <f>INDEX('Auto Feed'!$G$2:$G$139,MATCH($B115,'Auto Feed'!$A$2:$A$139,0))</f>
        <v/>
      </c>
      <c r="J115" s="51">
        <f>INDEX('Auto Feed'!$H$2:$H$139,MATCH($B115,'Auto Feed'!$A$2:$A$139,0))</f>
        <v/>
      </c>
      <c r="K115" s="32">
        <f>((G115-AVERAGE('Auto Feed'!$E$2:$E$139))/STDEV('Auto Feed'!$E$2:$E$139))+((H115-AVERAGE('Auto Feed'!$F$2:$F$139))/STDEV('Auto Feed'!$F$2:$F$139))+((I115-AVERAGE('Auto Feed'!$G$2:$G$139))/STDEV('Auto Feed'!$G$2:$G$139))-((J115-AVERAGE('Auto Feed'!$H$2:$H$139))/STDEV('Auto Feed'!$H$2:$H$139))</f>
        <v/>
      </c>
      <c r="L115" s="31">
        <f>((E115-AVERAGE('Auto Feed'!$C$2:$C$139))/STDEV('Auto Feed'!$C$2:$C$139))*'Weights &amp; Params'!$B$14</f>
        <v/>
      </c>
      <c r="M115" s="31">
        <f>((F115-AVERAGE('Auto Feed'!$D$2:$D$139))/STDEV('Auto Feed'!$D$2:$D$139))*'Weights &amp; Params'!$B$14</f>
        <v/>
      </c>
      <c r="N115" s="31">
        <f>((K115-AVERAGE($K$2:$K$139))/STDEV($K$2:$K$139))*'Weights &amp; Params'!$B$14</f>
        <v/>
      </c>
      <c r="O115" s="33">
        <f>'Weights &amp; Params'!$B$5*D115+'Weights &amp; Params'!$B$6*L115+'Weights &amp; Params'!$B$7*M115+'Weights &amp; Params'!$B$8*N115+'Weights &amp; Params'!$B$17*S115</f>
        <v/>
      </c>
      <c r="P115" s="54">
        <f>INDEX('Auto Feed'!$I$2:$I$139,MATCH($B115,'Auto Feed'!$A$2:$A$139,0))</f>
        <v/>
      </c>
      <c r="Q115" s="54">
        <f>INDEX('Auto Feed'!$J$2:$J$139,MATCH($B115,'Auto Feed'!$A$2:$A$139,0))</f>
        <v/>
      </c>
      <c r="R115" s="54">
        <f>((P115-AVERAGE('Auto Feed'!$I$2:$I$139))/STDEV('Auto Feed'!$I$2:$I$139))-((Q115-AVERAGE('Auto Feed'!$J$2:$J$139))/STDEV('Auto Feed'!$J$2:$J$139))</f>
        <v/>
      </c>
      <c r="S115" s="54">
        <f>((R115-AVERAGE($R$2:$R$139))/STDEV($R$2:$R$139))*'Weights &amp; Params'!$B$14</f>
        <v/>
      </c>
    </row>
    <row r="116">
      <c r="A116" s="12">
        <f>RANK(O116,$O$2:$O$139,0)</f>
        <v/>
      </c>
      <c r="B116" s="30" t="inlineStr">
        <is>
          <t>UAB</t>
        </is>
      </c>
      <c r="C116" s="23">
        <f>INDEX('Auto Feed'!$B$2:$B$139,MATCH($B116,'Auto Feed'!$A$2:$A$139,0))</f>
        <v/>
      </c>
      <c r="D116" s="31">
        <f>INDEX('Weekly Input'!$B$2:$B$139,MATCH($B116,'Weekly Input'!$A$2:$A$139,0))</f>
        <v/>
      </c>
      <c r="E116" s="31">
        <f>INDEX('Auto Feed'!$C$2:$C$139,MATCH($B116,'Auto Feed'!$A$2:$A$139,0))</f>
        <v/>
      </c>
      <c r="F116" s="31">
        <f>INDEX('Auto Feed'!$D$2:$D$139,MATCH($B116,'Auto Feed'!$A$2:$A$139,0))</f>
        <v/>
      </c>
      <c r="G116" s="51">
        <f>INDEX('Auto Feed'!$E$2:$E$139,MATCH($B116,'Auto Feed'!$A$2:$A$139,0))</f>
        <v/>
      </c>
      <c r="H116" s="51">
        <f>INDEX('Auto Feed'!$F$2:$F$139,MATCH($B116,'Auto Feed'!$A$2:$A$139,0))</f>
        <v/>
      </c>
      <c r="I116" s="51">
        <f>INDEX('Auto Feed'!$G$2:$G$139,MATCH($B116,'Auto Feed'!$A$2:$A$139,0))</f>
        <v/>
      </c>
      <c r="J116" s="51">
        <f>INDEX('Auto Feed'!$H$2:$H$139,MATCH($B116,'Auto Feed'!$A$2:$A$139,0))</f>
        <v/>
      </c>
      <c r="K116" s="32">
        <f>((G116-AVERAGE('Auto Feed'!$E$2:$E$139))/STDEV('Auto Feed'!$E$2:$E$139))+((H116-AVERAGE('Auto Feed'!$F$2:$F$139))/STDEV('Auto Feed'!$F$2:$F$139))+((I116-AVERAGE('Auto Feed'!$G$2:$G$139))/STDEV('Auto Feed'!$G$2:$G$139))-((J116-AVERAGE('Auto Feed'!$H$2:$H$139))/STDEV('Auto Feed'!$H$2:$H$139))</f>
        <v/>
      </c>
      <c r="L116" s="31">
        <f>((E116-AVERAGE('Auto Feed'!$C$2:$C$139))/STDEV('Auto Feed'!$C$2:$C$139))*'Weights &amp; Params'!$B$14</f>
        <v/>
      </c>
      <c r="M116" s="31">
        <f>((F116-AVERAGE('Auto Feed'!$D$2:$D$139))/STDEV('Auto Feed'!$D$2:$D$139))*'Weights &amp; Params'!$B$14</f>
        <v/>
      </c>
      <c r="N116" s="31">
        <f>((K116-AVERAGE($K$2:$K$139))/STDEV($K$2:$K$139))*'Weights &amp; Params'!$B$14</f>
        <v/>
      </c>
      <c r="O116" s="33">
        <f>'Weights &amp; Params'!$B$5*D116+'Weights &amp; Params'!$B$6*L116+'Weights &amp; Params'!$B$7*M116+'Weights &amp; Params'!$B$8*N116+'Weights &amp; Params'!$B$17*S116</f>
        <v/>
      </c>
      <c r="P116" s="54">
        <f>INDEX('Auto Feed'!$I$2:$I$139,MATCH($B116,'Auto Feed'!$A$2:$A$139,0))</f>
        <v/>
      </c>
      <c r="Q116" s="54">
        <f>INDEX('Auto Feed'!$J$2:$J$139,MATCH($B116,'Auto Feed'!$A$2:$A$139,0))</f>
        <v/>
      </c>
      <c r="R116" s="54">
        <f>((P116-AVERAGE('Auto Feed'!$I$2:$I$139))/STDEV('Auto Feed'!$I$2:$I$139))-((Q116-AVERAGE('Auto Feed'!$J$2:$J$139))/STDEV('Auto Feed'!$J$2:$J$139))</f>
        <v/>
      </c>
      <c r="S116" s="54">
        <f>((R116-AVERAGE($R$2:$R$139))/STDEV($R$2:$R$139))*'Weights &amp; Params'!$B$14</f>
        <v/>
      </c>
    </row>
    <row r="117">
      <c r="A117" s="12">
        <f>RANK(O117,$O$2:$O$139,0)</f>
        <v/>
      </c>
      <c r="B117" s="30" t="inlineStr">
        <is>
          <t>UCF</t>
        </is>
      </c>
      <c r="C117" s="23">
        <f>INDEX('Auto Feed'!$B$2:$B$139,MATCH($B117,'Auto Feed'!$A$2:$A$139,0))</f>
        <v/>
      </c>
      <c r="D117" s="31">
        <f>INDEX('Weekly Input'!$B$2:$B$139,MATCH($B117,'Weekly Input'!$A$2:$A$139,0))</f>
        <v/>
      </c>
      <c r="E117" s="31">
        <f>INDEX('Auto Feed'!$C$2:$C$139,MATCH($B117,'Auto Feed'!$A$2:$A$139,0))</f>
        <v/>
      </c>
      <c r="F117" s="31">
        <f>INDEX('Auto Feed'!$D$2:$D$139,MATCH($B117,'Auto Feed'!$A$2:$A$139,0))</f>
        <v/>
      </c>
      <c r="G117" s="51">
        <f>INDEX('Auto Feed'!$E$2:$E$139,MATCH($B117,'Auto Feed'!$A$2:$A$139,0))</f>
        <v/>
      </c>
      <c r="H117" s="51">
        <f>INDEX('Auto Feed'!$F$2:$F$139,MATCH($B117,'Auto Feed'!$A$2:$A$139,0))</f>
        <v/>
      </c>
      <c r="I117" s="51">
        <f>INDEX('Auto Feed'!$G$2:$G$139,MATCH($B117,'Auto Feed'!$A$2:$A$139,0))</f>
        <v/>
      </c>
      <c r="J117" s="51">
        <f>INDEX('Auto Feed'!$H$2:$H$139,MATCH($B117,'Auto Feed'!$A$2:$A$139,0))</f>
        <v/>
      </c>
      <c r="K117" s="32">
        <f>((G117-AVERAGE('Auto Feed'!$E$2:$E$139))/STDEV('Auto Feed'!$E$2:$E$139))+((H117-AVERAGE('Auto Feed'!$F$2:$F$139))/STDEV('Auto Feed'!$F$2:$F$139))+((I117-AVERAGE('Auto Feed'!$G$2:$G$139))/STDEV('Auto Feed'!$G$2:$G$139))-((J117-AVERAGE('Auto Feed'!$H$2:$H$139))/STDEV('Auto Feed'!$H$2:$H$139))</f>
        <v/>
      </c>
      <c r="L117" s="31">
        <f>((E117-AVERAGE('Auto Feed'!$C$2:$C$139))/STDEV('Auto Feed'!$C$2:$C$139))*'Weights &amp; Params'!$B$14</f>
        <v/>
      </c>
      <c r="M117" s="31">
        <f>((F117-AVERAGE('Auto Feed'!$D$2:$D$139))/STDEV('Auto Feed'!$D$2:$D$139))*'Weights &amp; Params'!$B$14</f>
        <v/>
      </c>
      <c r="N117" s="31">
        <f>((K117-AVERAGE($K$2:$K$139))/STDEV($K$2:$K$139))*'Weights &amp; Params'!$B$14</f>
        <v/>
      </c>
      <c r="O117" s="33">
        <f>'Weights &amp; Params'!$B$5*D117+'Weights &amp; Params'!$B$6*L117+'Weights &amp; Params'!$B$7*M117+'Weights &amp; Params'!$B$8*N117+'Weights &amp; Params'!$B$17*S117</f>
        <v/>
      </c>
      <c r="P117" s="54">
        <f>INDEX('Auto Feed'!$I$2:$I$139,MATCH($B117,'Auto Feed'!$A$2:$A$139,0))</f>
        <v/>
      </c>
      <c r="Q117" s="54">
        <f>INDEX('Auto Feed'!$J$2:$J$139,MATCH($B117,'Auto Feed'!$A$2:$A$139,0))</f>
        <v/>
      </c>
      <c r="R117" s="54">
        <f>((P117-AVERAGE('Auto Feed'!$I$2:$I$139))/STDEV('Auto Feed'!$I$2:$I$139))-((Q117-AVERAGE('Auto Feed'!$J$2:$J$139))/STDEV('Auto Feed'!$J$2:$J$139))</f>
        <v/>
      </c>
      <c r="S117" s="54">
        <f>((R117-AVERAGE($R$2:$R$139))/STDEV($R$2:$R$139))*'Weights &amp; Params'!$B$14</f>
        <v/>
      </c>
    </row>
    <row r="118">
      <c r="A118" s="12">
        <f>RANK(O118,$O$2:$O$139,0)</f>
        <v/>
      </c>
      <c r="B118" s="30" t="inlineStr">
        <is>
          <t>UCLA</t>
        </is>
      </c>
      <c r="C118" s="23">
        <f>INDEX('Auto Feed'!$B$2:$B$139,MATCH($B118,'Auto Feed'!$A$2:$A$139,0))</f>
        <v/>
      </c>
      <c r="D118" s="31">
        <f>INDEX('Weekly Input'!$B$2:$B$139,MATCH($B118,'Weekly Input'!$A$2:$A$139,0))</f>
        <v/>
      </c>
      <c r="E118" s="31">
        <f>INDEX('Auto Feed'!$C$2:$C$139,MATCH($B118,'Auto Feed'!$A$2:$A$139,0))</f>
        <v/>
      </c>
      <c r="F118" s="31">
        <f>INDEX('Auto Feed'!$D$2:$D$139,MATCH($B118,'Auto Feed'!$A$2:$A$139,0))</f>
        <v/>
      </c>
      <c r="G118" s="51">
        <f>INDEX('Auto Feed'!$E$2:$E$139,MATCH($B118,'Auto Feed'!$A$2:$A$139,0))</f>
        <v/>
      </c>
      <c r="H118" s="51">
        <f>INDEX('Auto Feed'!$F$2:$F$139,MATCH($B118,'Auto Feed'!$A$2:$A$139,0))</f>
        <v/>
      </c>
      <c r="I118" s="51">
        <f>INDEX('Auto Feed'!$G$2:$G$139,MATCH($B118,'Auto Feed'!$A$2:$A$139,0))</f>
        <v/>
      </c>
      <c r="J118" s="51">
        <f>INDEX('Auto Feed'!$H$2:$H$139,MATCH($B118,'Auto Feed'!$A$2:$A$139,0))</f>
        <v/>
      </c>
      <c r="K118" s="32">
        <f>((G118-AVERAGE('Auto Feed'!$E$2:$E$139))/STDEV('Auto Feed'!$E$2:$E$139))+((H118-AVERAGE('Auto Feed'!$F$2:$F$139))/STDEV('Auto Feed'!$F$2:$F$139))+((I118-AVERAGE('Auto Feed'!$G$2:$G$139))/STDEV('Auto Feed'!$G$2:$G$139))-((J118-AVERAGE('Auto Feed'!$H$2:$H$139))/STDEV('Auto Feed'!$H$2:$H$139))</f>
        <v/>
      </c>
      <c r="L118" s="31">
        <f>((E118-AVERAGE('Auto Feed'!$C$2:$C$139))/STDEV('Auto Feed'!$C$2:$C$139))*'Weights &amp; Params'!$B$14</f>
        <v/>
      </c>
      <c r="M118" s="31">
        <f>((F118-AVERAGE('Auto Feed'!$D$2:$D$139))/STDEV('Auto Feed'!$D$2:$D$139))*'Weights &amp; Params'!$B$14</f>
        <v/>
      </c>
      <c r="N118" s="31">
        <f>((K118-AVERAGE($K$2:$K$139))/STDEV($K$2:$K$139))*'Weights &amp; Params'!$B$14</f>
        <v/>
      </c>
      <c r="O118" s="33">
        <f>'Weights &amp; Params'!$B$5*D118+'Weights &amp; Params'!$B$6*L118+'Weights &amp; Params'!$B$7*M118+'Weights &amp; Params'!$B$8*N118+'Weights &amp; Params'!$B$17*S118</f>
        <v/>
      </c>
      <c r="P118" s="54">
        <f>INDEX('Auto Feed'!$I$2:$I$139,MATCH($B118,'Auto Feed'!$A$2:$A$139,0))</f>
        <v/>
      </c>
      <c r="Q118" s="54">
        <f>INDEX('Auto Feed'!$J$2:$J$139,MATCH($B118,'Auto Feed'!$A$2:$A$139,0))</f>
        <v/>
      </c>
      <c r="R118" s="54">
        <f>((P118-AVERAGE('Auto Feed'!$I$2:$I$139))/STDEV('Auto Feed'!$I$2:$I$139))-((Q118-AVERAGE('Auto Feed'!$J$2:$J$139))/STDEV('Auto Feed'!$J$2:$J$139))</f>
        <v/>
      </c>
      <c r="S118" s="54">
        <f>((R118-AVERAGE($R$2:$R$139))/STDEV($R$2:$R$139))*'Weights &amp; Params'!$B$14</f>
        <v/>
      </c>
    </row>
    <row r="119">
      <c r="A119" s="12">
        <f>RANK(O119,$O$2:$O$139,0)</f>
        <v/>
      </c>
      <c r="B119" s="30" t="inlineStr">
        <is>
          <t>UConn</t>
        </is>
      </c>
      <c r="C119" s="23">
        <f>INDEX('Auto Feed'!$B$2:$B$139,MATCH($B119,'Auto Feed'!$A$2:$A$139,0))</f>
        <v/>
      </c>
      <c r="D119" s="31">
        <f>INDEX('Weekly Input'!$B$2:$B$139,MATCH($B119,'Weekly Input'!$A$2:$A$139,0))</f>
        <v/>
      </c>
      <c r="E119" s="31">
        <f>INDEX('Auto Feed'!$C$2:$C$139,MATCH($B119,'Auto Feed'!$A$2:$A$139,0))</f>
        <v/>
      </c>
      <c r="F119" s="31">
        <f>INDEX('Auto Feed'!$D$2:$D$139,MATCH($B119,'Auto Feed'!$A$2:$A$139,0))</f>
        <v/>
      </c>
      <c r="G119" s="51">
        <f>INDEX('Auto Feed'!$E$2:$E$139,MATCH($B119,'Auto Feed'!$A$2:$A$139,0))</f>
        <v/>
      </c>
      <c r="H119" s="51">
        <f>INDEX('Auto Feed'!$F$2:$F$139,MATCH($B119,'Auto Feed'!$A$2:$A$139,0))</f>
        <v/>
      </c>
      <c r="I119" s="51">
        <f>INDEX('Auto Feed'!$G$2:$G$139,MATCH($B119,'Auto Feed'!$A$2:$A$139,0))</f>
        <v/>
      </c>
      <c r="J119" s="51">
        <f>INDEX('Auto Feed'!$H$2:$H$139,MATCH($B119,'Auto Feed'!$A$2:$A$139,0))</f>
        <v/>
      </c>
      <c r="K119" s="32">
        <f>((G119-AVERAGE('Auto Feed'!$E$2:$E$139))/STDEV('Auto Feed'!$E$2:$E$139))+((H119-AVERAGE('Auto Feed'!$F$2:$F$139))/STDEV('Auto Feed'!$F$2:$F$139))+((I119-AVERAGE('Auto Feed'!$G$2:$G$139))/STDEV('Auto Feed'!$G$2:$G$139))-((J119-AVERAGE('Auto Feed'!$H$2:$H$139))/STDEV('Auto Feed'!$H$2:$H$139))</f>
        <v/>
      </c>
      <c r="L119" s="31">
        <f>((E119-AVERAGE('Auto Feed'!$C$2:$C$139))/STDEV('Auto Feed'!$C$2:$C$139))*'Weights &amp; Params'!$B$14</f>
        <v/>
      </c>
      <c r="M119" s="31">
        <f>((F119-AVERAGE('Auto Feed'!$D$2:$D$139))/STDEV('Auto Feed'!$D$2:$D$139))*'Weights &amp; Params'!$B$14</f>
        <v/>
      </c>
      <c r="N119" s="31">
        <f>((K119-AVERAGE($K$2:$K$139))/STDEV($K$2:$K$139))*'Weights &amp; Params'!$B$14</f>
        <v/>
      </c>
      <c r="O119" s="33">
        <f>'Weights &amp; Params'!$B$5*D119+'Weights &amp; Params'!$B$6*L119+'Weights &amp; Params'!$B$7*M119+'Weights &amp; Params'!$B$8*N119+'Weights &amp; Params'!$B$17*S119</f>
        <v/>
      </c>
      <c r="P119" s="54">
        <f>INDEX('Auto Feed'!$I$2:$I$139,MATCH($B119,'Auto Feed'!$A$2:$A$139,0))</f>
        <v/>
      </c>
      <c r="Q119" s="54">
        <f>INDEX('Auto Feed'!$J$2:$J$139,MATCH($B119,'Auto Feed'!$A$2:$A$139,0))</f>
        <v/>
      </c>
      <c r="R119" s="54">
        <f>((P119-AVERAGE('Auto Feed'!$I$2:$I$139))/STDEV('Auto Feed'!$I$2:$I$139))-((Q119-AVERAGE('Auto Feed'!$J$2:$J$139))/STDEV('Auto Feed'!$J$2:$J$139))</f>
        <v/>
      </c>
      <c r="S119" s="54">
        <f>((R119-AVERAGE($R$2:$R$139))/STDEV($R$2:$R$139))*'Weights &amp; Params'!$B$14</f>
        <v/>
      </c>
    </row>
    <row r="120">
      <c r="A120" s="12">
        <f>RANK(O120,$O$2:$O$139,0)</f>
        <v/>
      </c>
      <c r="B120" s="30" t="inlineStr">
        <is>
          <t>UMass</t>
        </is>
      </c>
      <c r="C120" s="23">
        <f>INDEX('Auto Feed'!$B$2:$B$139,MATCH($B120,'Auto Feed'!$A$2:$A$139,0))</f>
        <v/>
      </c>
      <c r="D120" s="31">
        <f>INDEX('Weekly Input'!$B$2:$B$139,MATCH($B120,'Weekly Input'!$A$2:$A$139,0))</f>
        <v/>
      </c>
      <c r="E120" s="31">
        <f>INDEX('Auto Feed'!$C$2:$C$139,MATCH($B120,'Auto Feed'!$A$2:$A$139,0))</f>
        <v/>
      </c>
      <c r="F120" s="31">
        <f>INDEX('Auto Feed'!$D$2:$D$139,MATCH($B120,'Auto Feed'!$A$2:$A$139,0))</f>
        <v/>
      </c>
      <c r="G120" s="51">
        <f>INDEX('Auto Feed'!$E$2:$E$139,MATCH($B120,'Auto Feed'!$A$2:$A$139,0))</f>
        <v/>
      </c>
      <c r="H120" s="51">
        <f>INDEX('Auto Feed'!$F$2:$F$139,MATCH($B120,'Auto Feed'!$A$2:$A$139,0))</f>
        <v/>
      </c>
      <c r="I120" s="51">
        <f>INDEX('Auto Feed'!$G$2:$G$139,MATCH($B120,'Auto Feed'!$A$2:$A$139,0))</f>
        <v/>
      </c>
      <c r="J120" s="51">
        <f>INDEX('Auto Feed'!$H$2:$H$139,MATCH($B120,'Auto Feed'!$A$2:$A$139,0))</f>
        <v/>
      </c>
      <c r="K120" s="32">
        <f>((G120-AVERAGE('Auto Feed'!$E$2:$E$139))/STDEV('Auto Feed'!$E$2:$E$139))+((H120-AVERAGE('Auto Feed'!$F$2:$F$139))/STDEV('Auto Feed'!$F$2:$F$139))+((I120-AVERAGE('Auto Feed'!$G$2:$G$139))/STDEV('Auto Feed'!$G$2:$G$139))-((J120-AVERAGE('Auto Feed'!$H$2:$H$139))/STDEV('Auto Feed'!$H$2:$H$139))</f>
        <v/>
      </c>
      <c r="L120" s="31">
        <f>((E120-AVERAGE('Auto Feed'!$C$2:$C$139))/STDEV('Auto Feed'!$C$2:$C$139))*'Weights &amp; Params'!$B$14</f>
        <v/>
      </c>
      <c r="M120" s="31">
        <f>((F120-AVERAGE('Auto Feed'!$D$2:$D$139))/STDEV('Auto Feed'!$D$2:$D$139))*'Weights &amp; Params'!$B$14</f>
        <v/>
      </c>
      <c r="N120" s="31">
        <f>((K120-AVERAGE($K$2:$K$139))/STDEV($K$2:$K$139))*'Weights &amp; Params'!$B$14</f>
        <v/>
      </c>
      <c r="O120" s="33">
        <f>'Weights &amp; Params'!$B$5*D120+'Weights &amp; Params'!$B$6*L120+'Weights &amp; Params'!$B$7*M120+'Weights &amp; Params'!$B$8*N120+'Weights &amp; Params'!$B$17*S120</f>
        <v/>
      </c>
      <c r="P120" s="54">
        <f>INDEX('Auto Feed'!$I$2:$I$139,MATCH($B120,'Auto Feed'!$A$2:$A$139,0))</f>
        <v/>
      </c>
      <c r="Q120" s="54">
        <f>INDEX('Auto Feed'!$J$2:$J$139,MATCH($B120,'Auto Feed'!$A$2:$A$139,0))</f>
        <v/>
      </c>
      <c r="R120" s="54">
        <f>((P120-AVERAGE('Auto Feed'!$I$2:$I$139))/STDEV('Auto Feed'!$I$2:$I$139))-((Q120-AVERAGE('Auto Feed'!$J$2:$J$139))/STDEV('Auto Feed'!$J$2:$J$139))</f>
        <v/>
      </c>
      <c r="S120" s="54">
        <f>((R120-AVERAGE($R$2:$R$139))/STDEV($R$2:$R$139))*'Weights &amp; Params'!$B$14</f>
        <v/>
      </c>
    </row>
    <row r="121">
      <c r="A121" s="12">
        <f>RANK(O121,$O$2:$O$139,0)</f>
        <v/>
      </c>
      <c r="B121" s="30" t="inlineStr">
        <is>
          <t>UNLV</t>
        </is>
      </c>
      <c r="C121" s="23">
        <f>INDEX('Auto Feed'!$B$2:$B$139,MATCH($B121,'Auto Feed'!$A$2:$A$139,0))</f>
        <v/>
      </c>
      <c r="D121" s="31">
        <f>INDEX('Weekly Input'!$B$2:$B$139,MATCH($B121,'Weekly Input'!$A$2:$A$139,0))</f>
        <v/>
      </c>
      <c r="E121" s="31">
        <f>INDEX('Auto Feed'!$C$2:$C$139,MATCH($B121,'Auto Feed'!$A$2:$A$139,0))</f>
        <v/>
      </c>
      <c r="F121" s="31">
        <f>INDEX('Auto Feed'!$D$2:$D$139,MATCH($B121,'Auto Feed'!$A$2:$A$139,0))</f>
        <v/>
      </c>
      <c r="G121" s="51">
        <f>INDEX('Auto Feed'!$E$2:$E$139,MATCH($B121,'Auto Feed'!$A$2:$A$139,0))</f>
        <v/>
      </c>
      <c r="H121" s="51">
        <f>INDEX('Auto Feed'!$F$2:$F$139,MATCH($B121,'Auto Feed'!$A$2:$A$139,0))</f>
        <v/>
      </c>
      <c r="I121" s="51">
        <f>INDEX('Auto Feed'!$G$2:$G$139,MATCH($B121,'Auto Feed'!$A$2:$A$139,0))</f>
        <v/>
      </c>
      <c r="J121" s="51">
        <f>INDEX('Auto Feed'!$H$2:$H$139,MATCH($B121,'Auto Feed'!$A$2:$A$139,0))</f>
        <v/>
      </c>
      <c r="K121" s="32">
        <f>((G121-AVERAGE('Auto Feed'!$E$2:$E$139))/STDEV('Auto Feed'!$E$2:$E$139))+((H121-AVERAGE('Auto Feed'!$F$2:$F$139))/STDEV('Auto Feed'!$F$2:$F$139))+((I121-AVERAGE('Auto Feed'!$G$2:$G$139))/STDEV('Auto Feed'!$G$2:$G$139))-((J121-AVERAGE('Auto Feed'!$H$2:$H$139))/STDEV('Auto Feed'!$H$2:$H$139))</f>
        <v/>
      </c>
      <c r="L121" s="31">
        <f>((E121-AVERAGE('Auto Feed'!$C$2:$C$139))/STDEV('Auto Feed'!$C$2:$C$139))*'Weights &amp; Params'!$B$14</f>
        <v/>
      </c>
      <c r="M121" s="31">
        <f>((F121-AVERAGE('Auto Feed'!$D$2:$D$139))/STDEV('Auto Feed'!$D$2:$D$139))*'Weights &amp; Params'!$B$14</f>
        <v/>
      </c>
      <c r="N121" s="31">
        <f>((K121-AVERAGE($K$2:$K$139))/STDEV($K$2:$K$139))*'Weights &amp; Params'!$B$14</f>
        <v/>
      </c>
      <c r="O121" s="33">
        <f>'Weights &amp; Params'!$B$5*D121+'Weights &amp; Params'!$B$6*L121+'Weights &amp; Params'!$B$7*M121+'Weights &amp; Params'!$B$8*N121+'Weights &amp; Params'!$B$17*S121</f>
        <v/>
      </c>
      <c r="P121" s="54">
        <f>INDEX('Auto Feed'!$I$2:$I$139,MATCH($B121,'Auto Feed'!$A$2:$A$139,0))</f>
        <v/>
      </c>
      <c r="Q121" s="54">
        <f>INDEX('Auto Feed'!$J$2:$J$139,MATCH($B121,'Auto Feed'!$A$2:$A$139,0))</f>
        <v/>
      </c>
      <c r="R121" s="54">
        <f>((P121-AVERAGE('Auto Feed'!$I$2:$I$139))/STDEV('Auto Feed'!$I$2:$I$139))-((Q121-AVERAGE('Auto Feed'!$J$2:$J$139))/STDEV('Auto Feed'!$J$2:$J$139))</f>
        <v/>
      </c>
      <c r="S121" s="54">
        <f>((R121-AVERAGE($R$2:$R$139))/STDEV($R$2:$R$139))*'Weights &amp; Params'!$B$14</f>
        <v/>
      </c>
    </row>
    <row r="122">
      <c r="A122" s="12">
        <f>RANK(O122,$O$2:$O$139,0)</f>
        <v/>
      </c>
      <c r="B122" s="30" t="inlineStr">
        <is>
          <t>USC</t>
        </is>
      </c>
      <c r="C122" s="23">
        <f>INDEX('Auto Feed'!$B$2:$B$139,MATCH($B122,'Auto Feed'!$A$2:$A$139,0))</f>
        <v/>
      </c>
      <c r="D122" s="31">
        <f>INDEX('Weekly Input'!$B$2:$B$139,MATCH($B122,'Weekly Input'!$A$2:$A$139,0))</f>
        <v/>
      </c>
      <c r="E122" s="31">
        <f>INDEX('Auto Feed'!$C$2:$C$139,MATCH($B122,'Auto Feed'!$A$2:$A$139,0))</f>
        <v/>
      </c>
      <c r="F122" s="31">
        <f>INDEX('Auto Feed'!$D$2:$D$139,MATCH($B122,'Auto Feed'!$A$2:$A$139,0))</f>
        <v/>
      </c>
      <c r="G122" s="51">
        <f>INDEX('Auto Feed'!$E$2:$E$139,MATCH($B122,'Auto Feed'!$A$2:$A$139,0))</f>
        <v/>
      </c>
      <c r="H122" s="51">
        <f>INDEX('Auto Feed'!$F$2:$F$139,MATCH($B122,'Auto Feed'!$A$2:$A$139,0))</f>
        <v/>
      </c>
      <c r="I122" s="51">
        <f>INDEX('Auto Feed'!$G$2:$G$139,MATCH($B122,'Auto Feed'!$A$2:$A$139,0))</f>
        <v/>
      </c>
      <c r="J122" s="51">
        <f>INDEX('Auto Feed'!$H$2:$H$139,MATCH($B122,'Auto Feed'!$A$2:$A$139,0))</f>
        <v/>
      </c>
      <c r="K122" s="32">
        <f>((G122-AVERAGE('Auto Feed'!$E$2:$E$139))/STDEV('Auto Feed'!$E$2:$E$139))+((H122-AVERAGE('Auto Feed'!$F$2:$F$139))/STDEV('Auto Feed'!$F$2:$F$139))+((I122-AVERAGE('Auto Feed'!$G$2:$G$139))/STDEV('Auto Feed'!$G$2:$G$139))-((J122-AVERAGE('Auto Feed'!$H$2:$H$139))/STDEV('Auto Feed'!$H$2:$H$139))</f>
        <v/>
      </c>
      <c r="L122" s="31">
        <f>((E122-AVERAGE('Auto Feed'!$C$2:$C$139))/STDEV('Auto Feed'!$C$2:$C$139))*'Weights &amp; Params'!$B$14</f>
        <v/>
      </c>
      <c r="M122" s="31">
        <f>((F122-AVERAGE('Auto Feed'!$D$2:$D$139))/STDEV('Auto Feed'!$D$2:$D$139))*'Weights &amp; Params'!$B$14</f>
        <v/>
      </c>
      <c r="N122" s="31">
        <f>((K122-AVERAGE($K$2:$K$139))/STDEV($K$2:$K$139))*'Weights &amp; Params'!$B$14</f>
        <v/>
      </c>
      <c r="O122" s="33">
        <f>'Weights &amp; Params'!$B$5*D122+'Weights &amp; Params'!$B$6*L122+'Weights &amp; Params'!$B$7*M122+'Weights &amp; Params'!$B$8*N122+'Weights &amp; Params'!$B$17*S122</f>
        <v/>
      </c>
      <c r="P122" s="54">
        <f>INDEX('Auto Feed'!$I$2:$I$139,MATCH($B122,'Auto Feed'!$A$2:$A$139,0))</f>
        <v/>
      </c>
      <c r="Q122" s="54">
        <f>INDEX('Auto Feed'!$J$2:$J$139,MATCH($B122,'Auto Feed'!$A$2:$A$139,0))</f>
        <v/>
      </c>
      <c r="R122" s="54">
        <f>((P122-AVERAGE('Auto Feed'!$I$2:$I$139))/STDEV('Auto Feed'!$I$2:$I$139))-((Q122-AVERAGE('Auto Feed'!$J$2:$J$139))/STDEV('Auto Feed'!$J$2:$J$139))</f>
        <v/>
      </c>
      <c r="S122" s="54">
        <f>((R122-AVERAGE($R$2:$R$139))/STDEV($R$2:$R$139))*'Weights &amp; Params'!$B$14</f>
        <v/>
      </c>
    </row>
    <row r="123">
      <c r="A123" s="12">
        <f>RANK(O123,$O$2:$O$139,0)</f>
        <v/>
      </c>
      <c r="B123" s="30" t="inlineStr">
        <is>
          <t>UTEP</t>
        </is>
      </c>
      <c r="C123" s="23">
        <f>INDEX('Auto Feed'!$B$2:$B$139,MATCH($B123,'Auto Feed'!$A$2:$A$139,0))</f>
        <v/>
      </c>
      <c r="D123" s="31">
        <f>INDEX('Weekly Input'!$B$2:$B$139,MATCH($B123,'Weekly Input'!$A$2:$A$139,0))</f>
        <v/>
      </c>
      <c r="E123" s="31">
        <f>INDEX('Auto Feed'!$C$2:$C$139,MATCH($B123,'Auto Feed'!$A$2:$A$139,0))</f>
        <v/>
      </c>
      <c r="F123" s="31">
        <f>INDEX('Auto Feed'!$D$2:$D$139,MATCH($B123,'Auto Feed'!$A$2:$A$139,0))</f>
        <v/>
      </c>
      <c r="G123" s="51">
        <f>INDEX('Auto Feed'!$E$2:$E$139,MATCH($B123,'Auto Feed'!$A$2:$A$139,0))</f>
        <v/>
      </c>
      <c r="H123" s="51">
        <f>INDEX('Auto Feed'!$F$2:$F$139,MATCH($B123,'Auto Feed'!$A$2:$A$139,0))</f>
        <v/>
      </c>
      <c r="I123" s="51">
        <f>INDEX('Auto Feed'!$G$2:$G$139,MATCH($B123,'Auto Feed'!$A$2:$A$139,0))</f>
        <v/>
      </c>
      <c r="J123" s="51">
        <f>INDEX('Auto Feed'!$H$2:$H$139,MATCH($B123,'Auto Feed'!$A$2:$A$139,0))</f>
        <v/>
      </c>
      <c r="K123" s="32">
        <f>((G123-AVERAGE('Auto Feed'!$E$2:$E$139))/STDEV('Auto Feed'!$E$2:$E$139))+((H123-AVERAGE('Auto Feed'!$F$2:$F$139))/STDEV('Auto Feed'!$F$2:$F$139))+((I123-AVERAGE('Auto Feed'!$G$2:$G$139))/STDEV('Auto Feed'!$G$2:$G$139))-((J123-AVERAGE('Auto Feed'!$H$2:$H$139))/STDEV('Auto Feed'!$H$2:$H$139))</f>
        <v/>
      </c>
      <c r="L123" s="31">
        <f>((E123-AVERAGE('Auto Feed'!$C$2:$C$139))/STDEV('Auto Feed'!$C$2:$C$139))*'Weights &amp; Params'!$B$14</f>
        <v/>
      </c>
      <c r="M123" s="31">
        <f>((F123-AVERAGE('Auto Feed'!$D$2:$D$139))/STDEV('Auto Feed'!$D$2:$D$139))*'Weights &amp; Params'!$B$14</f>
        <v/>
      </c>
      <c r="N123" s="31">
        <f>((K123-AVERAGE($K$2:$K$139))/STDEV($K$2:$K$139))*'Weights &amp; Params'!$B$14</f>
        <v/>
      </c>
      <c r="O123" s="33">
        <f>'Weights &amp; Params'!$B$5*D123+'Weights &amp; Params'!$B$6*L123+'Weights &amp; Params'!$B$7*M123+'Weights &amp; Params'!$B$8*N123+'Weights &amp; Params'!$B$17*S123</f>
        <v/>
      </c>
      <c r="P123" s="54">
        <f>INDEX('Auto Feed'!$I$2:$I$139,MATCH($B123,'Auto Feed'!$A$2:$A$139,0))</f>
        <v/>
      </c>
      <c r="Q123" s="54">
        <f>INDEX('Auto Feed'!$J$2:$J$139,MATCH($B123,'Auto Feed'!$A$2:$A$139,0))</f>
        <v/>
      </c>
      <c r="R123" s="54">
        <f>((P123-AVERAGE('Auto Feed'!$I$2:$I$139))/STDEV('Auto Feed'!$I$2:$I$139))-((Q123-AVERAGE('Auto Feed'!$J$2:$J$139))/STDEV('Auto Feed'!$J$2:$J$139))</f>
        <v/>
      </c>
      <c r="S123" s="54">
        <f>((R123-AVERAGE($R$2:$R$139))/STDEV($R$2:$R$139))*'Weights &amp; Params'!$B$14</f>
        <v/>
      </c>
    </row>
    <row r="124">
      <c r="A124" s="12">
        <f>RANK(O124,$O$2:$O$139,0)</f>
        <v/>
      </c>
      <c r="B124" s="30" t="inlineStr">
        <is>
          <t>UTSA</t>
        </is>
      </c>
      <c r="C124" s="23">
        <f>INDEX('Auto Feed'!$B$2:$B$139,MATCH($B124,'Auto Feed'!$A$2:$A$139,0))</f>
        <v/>
      </c>
      <c r="D124" s="31">
        <f>INDEX('Weekly Input'!$B$2:$B$139,MATCH($B124,'Weekly Input'!$A$2:$A$139,0))</f>
        <v/>
      </c>
      <c r="E124" s="31">
        <f>INDEX('Auto Feed'!$C$2:$C$139,MATCH($B124,'Auto Feed'!$A$2:$A$139,0))</f>
        <v/>
      </c>
      <c r="F124" s="31">
        <f>INDEX('Auto Feed'!$D$2:$D$139,MATCH($B124,'Auto Feed'!$A$2:$A$139,0))</f>
        <v/>
      </c>
      <c r="G124" s="51">
        <f>INDEX('Auto Feed'!$E$2:$E$139,MATCH($B124,'Auto Feed'!$A$2:$A$139,0))</f>
        <v/>
      </c>
      <c r="H124" s="51">
        <f>INDEX('Auto Feed'!$F$2:$F$139,MATCH($B124,'Auto Feed'!$A$2:$A$139,0))</f>
        <v/>
      </c>
      <c r="I124" s="51">
        <f>INDEX('Auto Feed'!$G$2:$G$139,MATCH($B124,'Auto Feed'!$A$2:$A$139,0))</f>
        <v/>
      </c>
      <c r="J124" s="51">
        <f>INDEX('Auto Feed'!$H$2:$H$139,MATCH($B124,'Auto Feed'!$A$2:$A$139,0))</f>
        <v/>
      </c>
      <c r="K124" s="32">
        <f>((G124-AVERAGE('Auto Feed'!$E$2:$E$139))/STDEV('Auto Feed'!$E$2:$E$139))+((H124-AVERAGE('Auto Feed'!$F$2:$F$139))/STDEV('Auto Feed'!$F$2:$F$139))+((I124-AVERAGE('Auto Feed'!$G$2:$G$139))/STDEV('Auto Feed'!$G$2:$G$139))-((J124-AVERAGE('Auto Feed'!$H$2:$H$139))/STDEV('Auto Feed'!$H$2:$H$139))</f>
        <v/>
      </c>
      <c r="L124" s="31">
        <f>((E124-AVERAGE('Auto Feed'!$C$2:$C$139))/STDEV('Auto Feed'!$C$2:$C$139))*'Weights &amp; Params'!$B$14</f>
        <v/>
      </c>
      <c r="M124" s="31">
        <f>((F124-AVERAGE('Auto Feed'!$D$2:$D$139))/STDEV('Auto Feed'!$D$2:$D$139))*'Weights &amp; Params'!$B$14</f>
        <v/>
      </c>
      <c r="N124" s="31">
        <f>((K124-AVERAGE($K$2:$K$139))/STDEV($K$2:$K$139))*'Weights &amp; Params'!$B$14</f>
        <v/>
      </c>
      <c r="O124" s="33">
        <f>'Weights &amp; Params'!$B$5*D124+'Weights &amp; Params'!$B$6*L124+'Weights &amp; Params'!$B$7*M124+'Weights &amp; Params'!$B$8*N124+'Weights &amp; Params'!$B$17*S124</f>
        <v/>
      </c>
      <c r="P124" s="54">
        <f>INDEX('Auto Feed'!$I$2:$I$139,MATCH($B124,'Auto Feed'!$A$2:$A$139,0))</f>
        <v/>
      </c>
      <c r="Q124" s="54">
        <f>INDEX('Auto Feed'!$J$2:$J$139,MATCH($B124,'Auto Feed'!$A$2:$A$139,0))</f>
        <v/>
      </c>
      <c r="R124" s="54">
        <f>((P124-AVERAGE('Auto Feed'!$I$2:$I$139))/STDEV('Auto Feed'!$I$2:$I$139))-((Q124-AVERAGE('Auto Feed'!$J$2:$J$139))/STDEV('Auto Feed'!$J$2:$J$139))</f>
        <v/>
      </c>
      <c r="S124" s="54">
        <f>((R124-AVERAGE($R$2:$R$139))/STDEV($R$2:$R$139))*'Weights &amp; Params'!$B$14</f>
        <v/>
      </c>
    </row>
    <row r="125">
      <c r="A125" s="12">
        <f>RANK(O125,$O$2:$O$139,0)</f>
        <v/>
      </c>
      <c r="B125" s="30" t="inlineStr">
        <is>
          <t>Utah</t>
        </is>
      </c>
      <c r="C125" s="23">
        <f>INDEX('Auto Feed'!$B$2:$B$139,MATCH($B125,'Auto Feed'!$A$2:$A$139,0))</f>
        <v/>
      </c>
      <c r="D125" s="31">
        <f>INDEX('Weekly Input'!$B$2:$B$139,MATCH($B125,'Weekly Input'!$A$2:$A$139,0))</f>
        <v/>
      </c>
      <c r="E125" s="31">
        <f>INDEX('Auto Feed'!$C$2:$C$139,MATCH($B125,'Auto Feed'!$A$2:$A$139,0))</f>
        <v/>
      </c>
      <c r="F125" s="31">
        <f>INDEX('Auto Feed'!$D$2:$D$139,MATCH($B125,'Auto Feed'!$A$2:$A$139,0))</f>
        <v/>
      </c>
      <c r="G125" s="51">
        <f>INDEX('Auto Feed'!$E$2:$E$139,MATCH($B125,'Auto Feed'!$A$2:$A$139,0))</f>
        <v/>
      </c>
      <c r="H125" s="51">
        <f>INDEX('Auto Feed'!$F$2:$F$139,MATCH($B125,'Auto Feed'!$A$2:$A$139,0))</f>
        <v/>
      </c>
      <c r="I125" s="51">
        <f>INDEX('Auto Feed'!$G$2:$G$139,MATCH($B125,'Auto Feed'!$A$2:$A$139,0))</f>
        <v/>
      </c>
      <c r="J125" s="51">
        <f>INDEX('Auto Feed'!$H$2:$H$139,MATCH($B125,'Auto Feed'!$A$2:$A$139,0))</f>
        <v/>
      </c>
      <c r="K125" s="32">
        <f>((G125-AVERAGE('Auto Feed'!$E$2:$E$139))/STDEV('Auto Feed'!$E$2:$E$139))+((H125-AVERAGE('Auto Feed'!$F$2:$F$139))/STDEV('Auto Feed'!$F$2:$F$139))+((I125-AVERAGE('Auto Feed'!$G$2:$G$139))/STDEV('Auto Feed'!$G$2:$G$139))-((J125-AVERAGE('Auto Feed'!$H$2:$H$139))/STDEV('Auto Feed'!$H$2:$H$139))</f>
        <v/>
      </c>
      <c r="L125" s="31">
        <f>((E125-AVERAGE('Auto Feed'!$C$2:$C$139))/STDEV('Auto Feed'!$C$2:$C$139))*'Weights &amp; Params'!$B$14</f>
        <v/>
      </c>
      <c r="M125" s="31">
        <f>((F125-AVERAGE('Auto Feed'!$D$2:$D$139))/STDEV('Auto Feed'!$D$2:$D$139))*'Weights &amp; Params'!$B$14</f>
        <v/>
      </c>
      <c r="N125" s="31">
        <f>((K125-AVERAGE($K$2:$K$139))/STDEV($K$2:$K$139))*'Weights &amp; Params'!$B$14</f>
        <v/>
      </c>
      <c r="O125" s="33">
        <f>'Weights &amp; Params'!$B$5*D125+'Weights &amp; Params'!$B$6*L125+'Weights &amp; Params'!$B$7*M125+'Weights &amp; Params'!$B$8*N125+'Weights &amp; Params'!$B$17*S125</f>
        <v/>
      </c>
      <c r="P125" s="54">
        <f>INDEX('Auto Feed'!$I$2:$I$139,MATCH($B125,'Auto Feed'!$A$2:$A$139,0))</f>
        <v/>
      </c>
      <c r="Q125" s="54">
        <f>INDEX('Auto Feed'!$J$2:$J$139,MATCH($B125,'Auto Feed'!$A$2:$A$139,0))</f>
        <v/>
      </c>
      <c r="R125" s="54">
        <f>((P125-AVERAGE('Auto Feed'!$I$2:$I$139))/STDEV('Auto Feed'!$I$2:$I$139))-((Q125-AVERAGE('Auto Feed'!$J$2:$J$139))/STDEV('Auto Feed'!$J$2:$J$139))</f>
        <v/>
      </c>
      <c r="S125" s="54">
        <f>((R125-AVERAGE($R$2:$R$139))/STDEV($R$2:$R$139))*'Weights &amp; Params'!$B$14</f>
        <v/>
      </c>
    </row>
    <row r="126">
      <c r="A126" s="12">
        <f>RANK(O126,$O$2:$O$139,0)</f>
        <v/>
      </c>
      <c r="B126" s="30" t="inlineStr">
        <is>
          <t>Utah State</t>
        </is>
      </c>
      <c r="C126" s="23">
        <f>INDEX('Auto Feed'!$B$2:$B$139,MATCH($B126,'Auto Feed'!$A$2:$A$139,0))</f>
        <v/>
      </c>
      <c r="D126" s="31">
        <f>INDEX('Weekly Input'!$B$2:$B$139,MATCH($B126,'Weekly Input'!$A$2:$A$139,0))</f>
        <v/>
      </c>
      <c r="E126" s="31">
        <f>INDEX('Auto Feed'!$C$2:$C$139,MATCH($B126,'Auto Feed'!$A$2:$A$139,0))</f>
        <v/>
      </c>
      <c r="F126" s="31">
        <f>INDEX('Auto Feed'!$D$2:$D$139,MATCH($B126,'Auto Feed'!$A$2:$A$139,0))</f>
        <v/>
      </c>
      <c r="G126" s="51">
        <f>INDEX('Auto Feed'!$E$2:$E$139,MATCH($B126,'Auto Feed'!$A$2:$A$139,0))</f>
        <v/>
      </c>
      <c r="H126" s="51">
        <f>INDEX('Auto Feed'!$F$2:$F$139,MATCH($B126,'Auto Feed'!$A$2:$A$139,0))</f>
        <v/>
      </c>
      <c r="I126" s="51">
        <f>INDEX('Auto Feed'!$G$2:$G$139,MATCH($B126,'Auto Feed'!$A$2:$A$139,0))</f>
        <v/>
      </c>
      <c r="J126" s="51">
        <f>INDEX('Auto Feed'!$H$2:$H$139,MATCH($B126,'Auto Feed'!$A$2:$A$139,0))</f>
        <v/>
      </c>
      <c r="K126" s="32">
        <f>((G126-AVERAGE('Auto Feed'!$E$2:$E$139))/STDEV('Auto Feed'!$E$2:$E$139))+((H126-AVERAGE('Auto Feed'!$F$2:$F$139))/STDEV('Auto Feed'!$F$2:$F$139))+((I126-AVERAGE('Auto Feed'!$G$2:$G$139))/STDEV('Auto Feed'!$G$2:$G$139))-((J126-AVERAGE('Auto Feed'!$H$2:$H$139))/STDEV('Auto Feed'!$H$2:$H$139))</f>
        <v/>
      </c>
      <c r="L126" s="31">
        <f>((E126-AVERAGE('Auto Feed'!$C$2:$C$139))/STDEV('Auto Feed'!$C$2:$C$139))*'Weights &amp; Params'!$B$14</f>
        <v/>
      </c>
      <c r="M126" s="31">
        <f>((F126-AVERAGE('Auto Feed'!$D$2:$D$139))/STDEV('Auto Feed'!$D$2:$D$139))*'Weights &amp; Params'!$B$14</f>
        <v/>
      </c>
      <c r="N126" s="31">
        <f>((K126-AVERAGE($K$2:$K$139))/STDEV($K$2:$K$139))*'Weights &amp; Params'!$B$14</f>
        <v/>
      </c>
      <c r="O126" s="33">
        <f>'Weights &amp; Params'!$B$5*D126+'Weights &amp; Params'!$B$6*L126+'Weights &amp; Params'!$B$7*M126+'Weights &amp; Params'!$B$8*N126+'Weights &amp; Params'!$B$17*S126</f>
        <v/>
      </c>
      <c r="P126" s="54">
        <f>INDEX('Auto Feed'!$I$2:$I$139,MATCH($B126,'Auto Feed'!$A$2:$A$139,0))</f>
        <v/>
      </c>
      <c r="Q126" s="54">
        <f>INDEX('Auto Feed'!$J$2:$J$139,MATCH($B126,'Auto Feed'!$A$2:$A$139,0))</f>
        <v/>
      </c>
      <c r="R126" s="54">
        <f>((P126-AVERAGE('Auto Feed'!$I$2:$I$139))/STDEV('Auto Feed'!$I$2:$I$139))-((Q126-AVERAGE('Auto Feed'!$J$2:$J$139))/STDEV('Auto Feed'!$J$2:$J$139))</f>
        <v/>
      </c>
      <c r="S126" s="54">
        <f>((R126-AVERAGE($R$2:$R$139))/STDEV($R$2:$R$139))*'Weights &amp; Params'!$B$14</f>
        <v/>
      </c>
    </row>
    <row r="127">
      <c r="A127" s="12">
        <f>RANK(O127,$O$2:$O$139,0)</f>
        <v/>
      </c>
      <c r="B127" s="30" t="inlineStr">
        <is>
          <t>Vanderbilt</t>
        </is>
      </c>
      <c r="C127" s="23">
        <f>INDEX('Auto Feed'!$B$2:$B$139,MATCH($B127,'Auto Feed'!$A$2:$A$139,0))</f>
        <v/>
      </c>
      <c r="D127" s="31">
        <f>INDEX('Weekly Input'!$B$2:$B$139,MATCH($B127,'Weekly Input'!$A$2:$A$139,0))</f>
        <v/>
      </c>
      <c r="E127" s="31">
        <f>INDEX('Auto Feed'!$C$2:$C$139,MATCH($B127,'Auto Feed'!$A$2:$A$139,0))</f>
        <v/>
      </c>
      <c r="F127" s="31">
        <f>INDEX('Auto Feed'!$D$2:$D$139,MATCH($B127,'Auto Feed'!$A$2:$A$139,0))</f>
        <v/>
      </c>
      <c r="G127" s="51">
        <f>INDEX('Auto Feed'!$E$2:$E$139,MATCH($B127,'Auto Feed'!$A$2:$A$139,0))</f>
        <v/>
      </c>
      <c r="H127" s="51">
        <f>INDEX('Auto Feed'!$F$2:$F$139,MATCH($B127,'Auto Feed'!$A$2:$A$139,0))</f>
        <v/>
      </c>
      <c r="I127" s="51">
        <f>INDEX('Auto Feed'!$G$2:$G$139,MATCH($B127,'Auto Feed'!$A$2:$A$139,0))</f>
        <v/>
      </c>
      <c r="J127" s="51">
        <f>INDEX('Auto Feed'!$H$2:$H$139,MATCH($B127,'Auto Feed'!$A$2:$A$139,0))</f>
        <v/>
      </c>
      <c r="K127" s="32">
        <f>((G127-AVERAGE('Auto Feed'!$E$2:$E$139))/STDEV('Auto Feed'!$E$2:$E$139))+((H127-AVERAGE('Auto Feed'!$F$2:$F$139))/STDEV('Auto Feed'!$F$2:$F$139))+((I127-AVERAGE('Auto Feed'!$G$2:$G$139))/STDEV('Auto Feed'!$G$2:$G$139))-((J127-AVERAGE('Auto Feed'!$H$2:$H$139))/STDEV('Auto Feed'!$H$2:$H$139))</f>
        <v/>
      </c>
      <c r="L127" s="31">
        <f>((E127-AVERAGE('Auto Feed'!$C$2:$C$139))/STDEV('Auto Feed'!$C$2:$C$139))*'Weights &amp; Params'!$B$14</f>
        <v/>
      </c>
      <c r="M127" s="31">
        <f>((F127-AVERAGE('Auto Feed'!$D$2:$D$139))/STDEV('Auto Feed'!$D$2:$D$139))*'Weights &amp; Params'!$B$14</f>
        <v/>
      </c>
      <c r="N127" s="31">
        <f>((K127-AVERAGE($K$2:$K$139))/STDEV($K$2:$K$139))*'Weights &amp; Params'!$B$14</f>
        <v/>
      </c>
      <c r="O127" s="33">
        <f>'Weights &amp; Params'!$B$5*D127+'Weights &amp; Params'!$B$6*L127+'Weights &amp; Params'!$B$7*M127+'Weights &amp; Params'!$B$8*N127+'Weights &amp; Params'!$B$17*S127</f>
        <v/>
      </c>
      <c r="P127" s="54">
        <f>INDEX('Auto Feed'!$I$2:$I$139,MATCH($B127,'Auto Feed'!$A$2:$A$139,0))</f>
        <v/>
      </c>
      <c r="Q127" s="54">
        <f>INDEX('Auto Feed'!$J$2:$J$139,MATCH($B127,'Auto Feed'!$A$2:$A$139,0))</f>
        <v/>
      </c>
      <c r="R127" s="54">
        <f>((P127-AVERAGE('Auto Feed'!$I$2:$I$139))/STDEV('Auto Feed'!$I$2:$I$139))-((Q127-AVERAGE('Auto Feed'!$J$2:$J$139))/STDEV('Auto Feed'!$J$2:$J$139))</f>
        <v/>
      </c>
      <c r="S127" s="54">
        <f>((R127-AVERAGE($R$2:$R$139))/STDEV($R$2:$R$139))*'Weights &amp; Params'!$B$14</f>
        <v/>
      </c>
    </row>
    <row r="128">
      <c r="A128" s="12">
        <f>RANK(O128,$O$2:$O$139,0)</f>
        <v/>
      </c>
      <c r="B128" s="30" t="inlineStr">
        <is>
          <t>Virginia</t>
        </is>
      </c>
      <c r="C128" s="23">
        <f>INDEX('Auto Feed'!$B$2:$B$139,MATCH($B128,'Auto Feed'!$A$2:$A$139,0))</f>
        <v/>
      </c>
      <c r="D128" s="31">
        <f>INDEX('Weekly Input'!$B$2:$B$139,MATCH($B128,'Weekly Input'!$A$2:$A$139,0))</f>
        <v/>
      </c>
      <c r="E128" s="31">
        <f>INDEX('Auto Feed'!$C$2:$C$139,MATCH($B128,'Auto Feed'!$A$2:$A$139,0))</f>
        <v/>
      </c>
      <c r="F128" s="31">
        <f>INDEX('Auto Feed'!$D$2:$D$139,MATCH($B128,'Auto Feed'!$A$2:$A$139,0))</f>
        <v/>
      </c>
      <c r="G128" s="51">
        <f>INDEX('Auto Feed'!$E$2:$E$139,MATCH($B128,'Auto Feed'!$A$2:$A$139,0))</f>
        <v/>
      </c>
      <c r="H128" s="51">
        <f>INDEX('Auto Feed'!$F$2:$F$139,MATCH($B128,'Auto Feed'!$A$2:$A$139,0))</f>
        <v/>
      </c>
      <c r="I128" s="51">
        <f>INDEX('Auto Feed'!$G$2:$G$139,MATCH($B128,'Auto Feed'!$A$2:$A$139,0))</f>
        <v/>
      </c>
      <c r="J128" s="51">
        <f>INDEX('Auto Feed'!$H$2:$H$139,MATCH($B128,'Auto Feed'!$A$2:$A$139,0))</f>
        <v/>
      </c>
      <c r="K128" s="32">
        <f>((G128-AVERAGE('Auto Feed'!$E$2:$E$139))/STDEV('Auto Feed'!$E$2:$E$139))+((H128-AVERAGE('Auto Feed'!$F$2:$F$139))/STDEV('Auto Feed'!$F$2:$F$139))+((I128-AVERAGE('Auto Feed'!$G$2:$G$139))/STDEV('Auto Feed'!$G$2:$G$139))-((J128-AVERAGE('Auto Feed'!$H$2:$H$139))/STDEV('Auto Feed'!$H$2:$H$139))</f>
        <v/>
      </c>
      <c r="L128" s="31">
        <f>((E128-AVERAGE('Auto Feed'!$C$2:$C$139))/STDEV('Auto Feed'!$C$2:$C$139))*'Weights &amp; Params'!$B$14</f>
        <v/>
      </c>
      <c r="M128" s="31">
        <f>((F128-AVERAGE('Auto Feed'!$D$2:$D$139))/STDEV('Auto Feed'!$D$2:$D$139))*'Weights &amp; Params'!$B$14</f>
        <v/>
      </c>
      <c r="N128" s="31">
        <f>((K128-AVERAGE($K$2:$K$139))/STDEV($K$2:$K$139))*'Weights &amp; Params'!$B$14</f>
        <v/>
      </c>
      <c r="O128" s="33">
        <f>'Weights &amp; Params'!$B$5*D128+'Weights &amp; Params'!$B$6*L128+'Weights &amp; Params'!$B$7*M128+'Weights &amp; Params'!$B$8*N128+'Weights &amp; Params'!$B$17*S128</f>
        <v/>
      </c>
      <c r="P128" s="54">
        <f>INDEX('Auto Feed'!$I$2:$I$139,MATCH($B128,'Auto Feed'!$A$2:$A$139,0))</f>
        <v/>
      </c>
      <c r="Q128" s="54">
        <f>INDEX('Auto Feed'!$J$2:$J$139,MATCH($B128,'Auto Feed'!$A$2:$A$139,0))</f>
        <v/>
      </c>
      <c r="R128" s="54">
        <f>((P128-AVERAGE('Auto Feed'!$I$2:$I$139))/STDEV('Auto Feed'!$I$2:$I$139))-((Q128-AVERAGE('Auto Feed'!$J$2:$J$139))/STDEV('Auto Feed'!$J$2:$J$139))</f>
        <v/>
      </c>
      <c r="S128" s="54">
        <f>((R128-AVERAGE($R$2:$R$139))/STDEV($R$2:$R$139))*'Weights &amp; Params'!$B$14</f>
        <v/>
      </c>
    </row>
    <row r="129">
      <c r="A129" s="12">
        <f>RANK(O129,$O$2:$O$139,0)</f>
        <v/>
      </c>
      <c r="B129" s="30" t="inlineStr">
        <is>
          <t>Virginia Tech</t>
        </is>
      </c>
      <c r="C129" s="23">
        <f>INDEX('Auto Feed'!$B$2:$B$139,MATCH($B129,'Auto Feed'!$A$2:$A$139,0))</f>
        <v/>
      </c>
      <c r="D129" s="31">
        <f>INDEX('Weekly Input'!$B$2:$B$139,MATCH($B129,'Weekly Input'!$A$2:$A$139,0))</f>
        <v/>
      </c>
      <c r="E129" s="31">
        <f>INDEX('Auto Feed'!$C$2:$C$139,MATCH($B129,'Auto Feed'!$A$2:$A$139,0))</f>
        <v/>
      </c>
      <c r="F129" s="31">
        <f>INDEX('Auto Feed'!$D$2:$D$139,MATCH($B129,'Auto Feed'!$A$2:$A$139,0))</f>
        <v/>
      </c>
      <c r="G129" s="51">
        <f>INDEX('Auto Feed'!$E$2:$E$139,MATCH($B129,'Auto Feed'!$A$2:$A$139,0))</f>
        <v/>
      </c>
      <c r="H129" s="51">
        <f>INDEX('Auto Feed'!$F$2:$F$139,MATCH($B129,'Auto Feed'!$A$2:$A$139,0))</f>
        <v/>
      </c>
      <c r="I129" s="51">
        <f>INDEX('Auto Feed'!$G$2:$G$139,MATCH($B129,'Auto Feed'!$A$2:$A$139,0))</f>
        <v/>
      </c>
      <c r="J129" s="51">
        <f>INDEX('Auto Feed'!$H$2:$H$139,MATCH($B129,'Auto Feed'!$A$2:$A$139,0))</f>
        <v/>
      </c>
      <c r="K129" s="32">
        <f>((G129-AVERAGE('Auto Feed'!$E$2:$E$139))/STDEV('Auto Feed'!$E$2:$E$139))+((H129-AVERAGE('Auto Feed'!$F$2:$F$139))/STDEV('Auto Feed'!$F$2:$F$139))+((I129-AVERAGE('Auto Feed'!$G$2:$G$139))/STDEV('Auto Feed'!$G$2:$G$139))-((J129-AVERAGE('Auto Feed'!$H$2:$H$139))/STDEV('Auto Feed'!$H$2:$H$139))</f>
        <v/>
      </c>
      <c r="L129" s="31">
        <f>((E129-AVERAGE('Auto Feed'!$C$2:$C$139))/STDEV('Auto Feed'!$C$2:$C$139))*'Weights &amp; Params'!$B$14</f>
        <v/>
      </c>
      <c r="M129" s="31">
        <f>((F129-AVERAGE('Auto Feed'!$D$2:$D$139))/STDEV('Auto Feed'!$D$2:$D$139))*'Weights &amp; Params'!$B$14</f>
        <v/>
      </c>
      <c r="N129" s="31">
        <f>((K129-AVERAGE($K$2:$K$139))/STDEV($K$2:$K$139))*'Weights &amp; Params'!$B$14</f>
        <v/>
      </c>
      <c r="O129" s="33">
        <f>'Weights &amp; Params'!$B$5*D129+'Weights &amp; Params'!$B$6*L129+'Weights &amp; Params'!$B$7*M129+'Weights &amp; Params'!$B$8*N129+'Weights &amp; Params'!$B$17*S129</f>
        <v/>
      </c>
      <c r="P129" s="54">
        <f>INDEX('Auto Feed'!$I$2:$I$139,MATCH($B129,'Auto Feed'!$A$2:$A$139,0))</f>
        <v/>
      </c>
      <c r="Q129" s="54">
        <f>INDEX('Auto Feed'!$J$2:$J$139,MATCH($B129,'Auto Feed'!$A$2:$A$139,0))</f>
        <v/>
      </c>
      <c r="R129" s="54">
        <f>((P129-AVERAGE('Auto Feed'!$I$2:$I$139))/STDEV('Auto Feed'!$I$2:$I$139))-((Q129-AVERAGE('Auto Feed'!$J$2:$J$139))/STDEV('Auto Feed'!$J$2:$J$139))</f>
        <v/>
      </c>
      <c r="S129" s="54">
        <f>((R129-AVERAGE($R$2:$R$139))/STDEV($R$2:$R$139))*'Weights &amp; Params'!$B$14</f>
        <v/>
      </c>
    </row>
    <row r="130">
      <c r="A130" s="12">
        <f>RANK(O130,$O$2:$O$139,0)</f>
        <v/>
      </c>
      <c r="B130" s="30" t="inlineStr">
        <is>
          <t>Wake Forest</t>
        </is>
      </c>
      <c r="C130" s="23">
        <f>INDEX('Auto Feed'!$B$2:$B$139,MATCH($B130,'Auto Feed'!$A$2:$A$139,0))</f>
        <v/>
      </c>
      <c r="D130" s="31">
        <f>INDEX('Weekly Input'!$B$2:$B$139,MATCH($B130,'Weekly Input'!$A$2:$A$139,0))</f>
        <v/>
      </c>
      <c r="E130" s="31">
        <f>INDEX('Auto Feed'!$C$2:$C$139,MATCH($B130,'Auto Feed'!$A$2:$A$139,0))</f>
        <v/>
      </c>
      <c r="F130" s="31">
        <f>INDEX('Auto Feed'!$D$2:$D$139,MATCH($B130,'Auto Feed'!$A$2:$A$139,0))</f>
        <v/>
      </c>
      <c r="G130" s="51">
        <f>INDEX('Auto Feed'!$E$2:$E$139,MATCH($B130,'Auto Feed'!$A$2:$A$139,0))</f>
        <v/>
      </c>
      <c r="H130" s="51">
        <f>INDEX('Auto Feed'!$F$2:$F$139,MATCH($B130,'Auto Feed'!$A$2:$A$139,0))</f>
        <v/>
      </c>
      <c r="I130" s="51">
        <f>INDEX('Auto Feed'!$G$2:$G$139,MATCH($B130,'Auto Feed'!$A$2:$A$139,0))</f>
        <v/>
      </c>
      <c r="J130" s="51">
        <f>INDEX('Auto Feed'!$H$2:$H$139,MATCH($B130,'Auto Feed'!$A$2:$A$139,0))</f>
        <v/>
      </c>
      <c r="K130" s="32">
        <f>((G130-AVERAGE('Auto Feed'!$E$2:$E$139))/STDEV('Auto Feed'!$E$2:$E$139))+((H130-AVERAGE('Auto Feed'!$F$2:$F$139))/STDEV('Auto Feed'!$F$2:$F$139))+((I130-AVERAGE('Auto Feed'!$G$2:$G$139))/STDEV('Auto Feed'!$G$2:$G$139))-((J130-AVERAGE('Auto Feed'!$H$2:$H$139))/STDEV('Auto Feed'!$H$2:$H$139))</f>
        <v/>
      </c>
      <c r="L130" s="31">
        <f>((E130-AVERAGE('Auto Feed'!$C$2:$C$139))/STDEV('Auto Feed'!$C$2:$C$139))*'Weights &amp; Params'!$B$14</f>
        <v/>
      </c>
      <c r="M130" s="31">
        <f>((F130-AVERAGE('Auto Feed'!$D$2:$D$139))/STDEV('Auto Feed'!$D$2:$D$139))*'Weights &amp; Params'!$B$14</f>
        <v/>
      </c>
      <c r="N130" s="31">
        <f>((K130-AVERAGE($K$2:$K$139))/STDEV($K$2:$K$139))*'Weights &amp; Params'!$B$14</f>
        <v/>
      </c>
      <c r="O130" s="33">
        <f>'Weights &amp; Params'!$B$5*D130+'Weights &amp; Params'!$B$6*L130+'Weights &amp; Params'!$B$7*M130+'Weights &amp; Params'!$B$8*N130+'Weights &amp; Params'!$B$17*S130</f>
        <v/>
      </c>
      <c r="P130" s="54">
        <f>INDEX('Auto Feed'!$I$2:$I$139,MATCH($B130,'Auto Feed'!$A$2:$A$139,0))</f>
        <v/>
      </c>
      <c r="Q130" s="54">
        <f>INDEX('Auto Feed'!$J$2:$J$139,MATCH($B130,'Auto Feed'!$A$2:$A$139,0))</f>
        <v/>
      </c>
      <c r="R130" s="54">
        <f>((P130-AVERAGE('Auto Feed'!$I$2:$I$139))/STDEV('Auto Feed'!$I$2:$I$139))-((Q130-AVERAGE('Auto Feed'!$J$2:$J$139))/STDEV('Auto Feed'!$J$2:$J$139))</f>
        <v/>
      </c>
      <c r="S130" s="54">
        <f>((R130-AVERAGE($R$2:$R$139))/STDEV($R$2:$R$139))*'Weights &amp; Params'!$B$14</f>
        <v/>
      </c>
    </row>
    <row r="131">
      <c r="A131" s="12">
        <f>RANK(O131,$O$2:$O$139,0)</f>
        <v/>
      </c>
      <c r="B131" s="30" t="inlineStr">
        <is>
          <t>Washington</t>
        </is>
      </c>
      <c r="C131" s="23">
        <f>INDEX('Auto Feed'!$B$2:$B$139,MATCH($B131,'Auto Feed'!$A$2:$A$139,0))</f>
        <v/>
      </c>
      <c r="D131" s="31">
        <f>INDEX('Weekly Input'!$B$2:$B$139,MATCH($B131,'Weekly Input'!$A$2:$A$139,0))</f>
        <v/>
      </c>
      <c r="E131" s="31">
        <f>INDEX('Auto Feed'!$C$2:$C$139,MATCH($B131,'Auto Feed'!$A$2:$A$139,0))</f>
        <v/>
      </c>
      <c r="F131" s="31">
        <f>INDEX('Auto Feed'!$D$2:$D$139,MATCH($B131,'Auto Feed'!$A$2:$A$139,0))</f>
        <v/>
      </c>
      <c r="G131" s="51">
        <f>INDEX('Auto Feed'!$E$2:$E$139,MATCH($B131,'Auto Feed'!$A$2:$A$139,0))</f>
        <v/>
      </c>
      <c r="H131" s="51">
        <f>INDEX('Auto Feed'!$F$2:$F$139,MATCH($B131,'Auto Feed'!$A$2:$A$139,0))</f>
        <v/>
      </c>
      <c r="I131" s="51">
        <f>INDEX('Auto Feed'!$G$2:$G$139,MATCH($B131,'Auto Feed'!$A$2:$A$139,0))</f>
        <v/>
      </c>
      <c r="J131" s="51">
        <f>INDEX('Auto Feed'!$H$2:$H$139,MATCH($B131,'Auto Feed'!$A$2:$A$139,0))</f>
        <v/>
      </c>
      <c r="K131" s="32">
        <f>((G131-AVERAGE('Auto Feed'!$E$2:$E$139))/STDEV('Auto Feed'!$E$2:$E$139))+((H131-AVERAGE('Auto Feed'!$F$2:$F$139))/STDEV('Auto Feed'!$F$2:$F$139))+((I131-AVERAGE('Auto Feed'!$G$2:$G$139))/STDEV('Auto Feed'!$G$2:$G$139))-((J131-AVERAGE('Auto Feed'!$H$2:$H$139))/STDEV('Auto Feed'!$H$2:$H$139))</f>
        <v/>
      </c>
      <c r="L131" s="31">
        <f>((E131-AVERAGE('Auto Feed'!$C$2:$C$139))/STDEV('Auto Feed'!$C$2:$C$139))*'Weights &amp; Params'!$B$14</f>
        <v/>
      </c>
      <c r="M131" s="31">
        <f>((F131-AVERAGE('Auto Feed'!$D$2:$D$139))/STDEV('Auto Feed'!$D$2:$D$139))*'Weights &amp; Params'!$B$14</f>
        <v/>
      </c>
      <c r="N131" s="31">
        <f>((K131-AVERAGE($K$2:$K$139))/STDEV($K$2:$K$139))*'Weights &amp; Params'!$B$14</f>
        <v/>
      </c>
      <c r="O131" s="33">
        <f>'Weights &amp; Params'!$B$5*D131+'Weights &amp; Params'!$B$6*L131+'Weights &amp; Params'!$B$7*M131+'Weights &amp; Params'!$B$8*N131+'Weights &amp; Params'!$B$17*S131</f>
        <v/>
      </c>
      <c r="P131" s="54">
        <f>INDEX('Auto Feed'!$I$2:$I$139,MATCH($B131,'Auto Feed'!$A$2:$A$139,0))</f>
        <v/>
      </c>
      <c r="Q131" s="54">
        <f>INDEX('Auto Feed'!$J$2:$J$139,MATCH($B131,'Auto Feed'!$A$2:$A$139,0))</f>
        <v/>
      </c>
      <c r="R131" s="54">
        <f>((P131-AVERAGE('Auto Feed'!$I$2:$I$139))/STDEV('Auto Feed'!$I$2:$I$139))-((Q131-AVERAGE('Auto Feed'!$J$2:$J$139))/STDEV('Auto Feed'!$J$2:$J$139))</f>
        <v/>
      </c>
      <c r="S131" s="54">
        <f>((R131-AVERAGE($R$2:$R$139))/STDEV($R$2:$R$139))*'Weights &amp; Params'!$B$14</f>
        <v/>
      </c>
    </row>
    <row r="132">
      <c r="A132" s="12">
        <f>RANK(O132,$O$2:$O$139,0)</f>
        <v/>
      </c>
      <c r="B132" s="30" t="inlineStr">
        <is>
          <t>Washington State</t>
        </is>
      </c>
      <c r="C132" s="23">
        <f>INDEX('Auto Feed'!$B$2:$B$139,MATCH($B132,'Auto Feed'!$A$2:$A$139,0))</f>
        <v/>
      </c>
      <c r="D132" s="31">
        <f>INDEX('Weekly Input'!$B$2:$B$139,MATCH($B132,'Weekly Input'!$A$2:$A$139,0))</f>
        <v/>
      </c>
      <c r="E132" s="31">
        <f>INDEX('Auto Feed'!$C$2:$C$139,MATCH($B132,'Auto Feed'!$A$2:$A$139,0))</f>
        <v/>
      </c>
      <c r="F132" s="31">
        <f>INDEX('Auto Feed'!$D$2:$D$139,MATCH($B132,'Auto Feed'!$A$2:$A$139,0))</f>
        <v/>
      </c>
      <c r="G132" s="51">
        <f>INDEX('Auto Feed'!$E$2:$E$139,MATCH($B132,'Auto Feed'!$A$2:$A$139,0))</f>
        <v/>
      </c>
      <c r="H132" s="51">
        <f>INDEX('Auto Feed'!$F$2:$F$139,MATCH($B132,'Auto Feed'!$A$2:$A$139,0))</f>
        <v/>
      </c>
      <c r="I132" s="51">
        <f>INDEX('Auto Feed'!$G$2:$G$139,MATCH($B132,'Auto Feed'!$A$2:$A$139,0))</f>
        <v/>
      </c>
      <c r="J132" s="51">
        <f>INDEX('Auto Feed'!$H$2:$H$139,MATCH($B132,'Auto Feed'!$A$2:$A$139,0))</f>
        <v/>
      </c>
      <c r="K132" s="32">
        <f>((G132-AVERAGE('Auto Feed'!$E$2:$E$139))/STDEV('Auto Feed'!$E$2:$E$139))+((H132-AVERAGE('Auto Feed'!$F$2:$F$139))/STDEV('Auto Feed'!$F$2:$F$139))+((I132-AVERAGE('Auto Feed'!$G$2:$G$139))/STDEV('Auto Feed'!$G$2:$G$139))-((J132-AVERAGE('Auto Feed'!$H$2:$H$139))/STDEV('Auto Feed'!$H$2:$H$139))</f>
        <v/>
      </c>
      <c r="L132" s="31">
        <f>((E132-AVERAGE('Auto Feed'!$C$2:$C$139))/STDEV('Auto Feed'!$C$2:$C$139))*'Weights &amp; Params'!$B$14</f>
        <v/>
      </c>
      <c r="M132" s="31">
        <f>((F132-AVERAGE('Auto Feed'!$D$2:$D$139))/STDEV('Auto Feed'!$D$2:$D$139))*'Weights &amp; Params'!$B$14</f>
        <v/>
      </c>
      <c r="N132" s="31">
        <f>((K132-AVERAGE($K$2:$K$139))/STDEV($K$2:$K$139))*'Weights &amp; Params'!$B$14</f>
        <v/>
      </c>
      <c r="O132" s="33">
        <f>'Weights &amp; Params'!$B$5*D132+'Weights &amp; Params'!$B$6*L132+'Weights &amp; Params'!$B$7*M132+'Weights &amp; Params'!$B$8*N132+'Weights &amp; Params'!$B$17*S132</f>
        <v/>
      </c>
      <c r="P132" s="54">
        <f>INDEX('Auto Feed'!$I$2:$I$139,MATCH($B132,'Auto Feed'!$A$2:$A$139,0))</f>
        <v/>
      </c>
      <c r="Q132" s="54">
        <f>INDEX('Auto Feed'!$J$2:$J$139,MATCH($B132,'Auto Feed'!$A$2:$A$139,0))</f>
        <v/>
      </c>
      <c r="R132" s="54">
        <f>((P132-AVERAGE('Auto Feed'!$I$2:$I$139))/STDEV('Auto Feed'!$I$2:$I$139))-((Q132-AVERAGE('Auto Feed'!$J$2:$J$139))/STDEV('Auto Feed'!$J$2:$J$139))</f>
        <v/>
      </c>
      <c r="S132" s="54">
        <f>((R132-AVERAGE($R$2:$R$139))/STDEV($R$2:$R$139))*'Weights &amp; Params'!$B$14</f>
        <v/>
      </c>
    </row>
    <row r="133">
      <c r="A133" s="12">
        <f>RANK(O133,$O$2:$O$139,0)</f>
        <v/>
      </c>
      <c r="B133" s="30" t="inlineStr">
        <is>
          <t>West Virginia</t>
        </is>
      </c>
      <c r="C133" s="23">
        <f>INDEX('Auto Feed'!$B$2:$B$139,MATCH($B133,'Auto Feed'!$A$2:$A$139,0))</f>
        <v/>
      </c>
      <c r="D133" s="31">
        <f>INDEX('Weekly Input'!$B$2:$B$139,MATCH($B133,'Weekly Input'!$A$2:$A$139,0))</f>
        <v/>
      </c>
      <c r="E133" s="31">
        <f>INDEX('Auto Feed'!$C$2:$C$139,MATCH($B133,'Auto Feed'!$A$2:$A$139,0))</f>
        <v/>
      </c>
      <c r="F133" s="31">
        <f>INDEX('Auto Feed'!$D$2:$D$139,MATCH($B133,'Auto Feed'!$A$2:$A$139,0))</f>
        <v/>
      </c>
      <c r="G133" s="51">
        <f>INDEX('Auto Feed'!$E$2:$E$139,MATCH($B133,'Auto Feed'!$A$2:$A$139,0))</f>
        <v/>
      </c>
      <c r="H133" s="51">
        <f>INDEX('Auto Feed'!$F$2:$F$139,MATCH($B133,'Auto Feed'!$A$2:$A$139,0))</f>
        <v/>
      </c>
      <c r="I133" s="51">
        <f>INDEX('Auto Feed'!$G$2:$G$139,MATCH($B133,'Auto Feed'!$A$2:$A$139,0))</f>
        <v/>
      </c>
      <c r="J133" s="51">
        <f>INDEX('Auto Feed'!$H$2:$H$139,MATCH($B133,'Auto Feed'!$A$2:$A$139,0))</f>
        <v/>
      </c>
      <c r="K133" s="32">
        <f>((G133-AVERAGE('Auto Feed'!$E$2:$E$139))/STDEV('Auto Feed'!$E$2:$E$139))+((H133-AVERAGE('Auto Feed'!$F$2:$F$139))/STDEV('Auto Feed'!$F$2:$F$139))+((I133-AVERAGE('Auto Feed'!$G$2:$G$139))/STDEV('Auto Feed'!$G$2:$G$139))-((J133-AVERAGE('Auto Feed'!$H$2:$H$139))/STDEV('Auto Feed'!$H$2:$H$139))</f>
        <v/>
      </c>
      <c r="L133" s="31">
        <f>((E133-AVERAGE('Auto Feed'!$C$2:$C$139))/STDEV('Auto Feed'!$C$2:$C$139))*'Weights &amp; Params'!$B$14</f>
        <v/>
      </c>
      <c r="M133" s="31">
        <f>((F133-AVERAGE('Auto Feed'!$D$2:$D$139))/STDEV('Auto Feed'!$D$2:$D$139))*'Weights &amp; Params'!$B$14</f>
        <v/>
      </c>
      <c r="N133" s="31">
        <f>((K133-AVERAGE($K$2:$K$139))/STDEV($K$2:$K$139))*'Weights &amp; Params'!$B$14</f>
        <v/>
      </c>
      <c r="O133" s="33">
        <f>'Weights &amp; Params'!$B$5*D133+'Weights &amp; Params'!$B$6*L133+'Weights &amp; Params'!$B$7*M133+'Weights &amp; Params'!$B$8*N133+'Weights &amp; Params'!$B$17*S133</f>
        <v/>
      </c>
      <c r="P133" s="54">
        <f>INDEX('Auto Feed'!$I$2:$I$139,MATCH($B133,'Auto Feed'!$A$2:$A$139,0))</f>
        <v/>
      </c>
      <c r="Q133" s="54">
        <f>INDEX('Auto Feed'!$J$2:$J$139,MATCH($B133,'Auto Feed'!$A$2:$A$139,0))</f>
        <v/>
      </c>
      <c r="R133" s="54">
        <f>((P133-AVERAGE('Auto Feed'!$I$2:$I$139))/STDEV('Auto Feed'!$I$2:$I$139))-((Q133-AVERAGE('Auto Feed'!$J$2:$J$139))/STDEV('Auto Feed'!$J$2:$J$139))</f>
        <v/>
      </c>
      <c r="S133" s="54">
        <f>((R133-AVERAGE($R$2:$R$139))/STDEV($R$2:$R$139))*'Weights &amp; Params'!$B$14</f>
        <v/>
      </c>
    </row>
    <row r="134">
      <c r="A134" s="12">
        <f>RANK(O134,$O$2:$O$139,0)</f>
        <v/>
      </c>
      <c r="B134" s="30" t="inlineStr">
        <is>
          <t>Western Kentucky</t>
        </is>
      </c>
      <c r="C134" s="23">
        <f>INDEX('Auto Feed'!$B$2:$B$139,MATCH($B134,'Auto Feed'!$A$2:$A$139,0))</f>
        <v/>
      </c>
      <c r="D134" s="31">
        <f>INDEX('Weekly Input'!$B$2:$B$139,MATCH($B134,'Weekly Input'!$A$2:$A$139,0))</f>
        <v/>
      </c>
      <c r="E134" s="31">
        <f>INDEX('Auto Feed'!$C$2:$C$139,MATCH($B134,'Auto Feed'!$A$2:$A$139,0))</f>
        <v/>
      </c>
      <c r="F134" s="31">
        <f>INDEX('Auto Feed'!$D$2:$D$139,MATCH($B134,'Auto Feed'!$A$2:$A$139,0))</f>
        <v/>
      </c>
      <c r="G134" s="51">
        <f>INDEX('Auto Feed'!$E$2:$E$139,MATCH($B134,'Auto Feed'!$A$2:$A$139,0))</f>
        <v/>
      </c>
      <c r="H134" s="51">
        <f>INDEX('Auto Feed'!$F$2:$F$139,MATCH($B134,'Auto Feed'!$A$2:$A$139,0))</f>
        <v/>
      </c>
      <c r="I134" s="51">
        <f>INDEX('Auto Feed'!$G$2:$G$139,MATCH($B134,'Auto Feed'!$A$2:$A$139,0))</f>
        <v/>
      </c>
      <c r="J134" s="51">
        <f>INDEX('Auto Feed'!$H$2:$H$139,MATCH($B134,'Auto Feed'!$A$2:$A$139,0))</f>
        <v/>
      </c>
      <c r="K134" s="32">
        <f>((G134-AVERAGE('Auto Feed'!$E$2:$E$139))/STDEV('Auto Feed'!$E$2:$E$139))+((H134-AVERAGE('Auto Feed'!$F$2:$F$139))/STDEV('Auto Feed'!$F$2:$F$139))+((I134-AVERAGE('Auto Feed'!$G$2:$G$139))/STDEV('Auto Feed'!$G$2:$G$139))-((J134-AVERAGE('Auto Feed'!$H$2:$H$139))/STDEV('Auto Feed'!$H$2:$H$139))</f>
        <v/>
      </c>
      <c r="L134" s="31">
        <f>((E134-AVERAGE('Auto Feed'!$C$2:$C$139))/STDEV('Auto Feed'!$C$2:$C$139))*'Weights &amp; Params'!$B$14</f>
        <v/>
      </c>
      <c r="M134" s="31">
        <f>((F134-AVERAGE('Auto Feed'!$D$2:$D$139))/STDEV('Auto Feed'!$D$2:$D$139))*'Weights &amp; Params'!$B$14</f>
        <v/>
      </c>
      <c r="N134" s="31">
        <f>((K134-AVERAGE($K$2:$K$139))/STDEV($K$2:$K$139))*'Weights &amp; Params'!$B$14</f>
        <v/>
      </c>
      <c r="O134" s="33">
        <f>'Weights &amp; Params'!$B$5*D134+'Weights &amp; Params'!$B$6*L134+'Weights &amp; Params'!$B$7*M134+'Weights &amp; Params'!$B$8*N134+'Weights &amp; Params'!$B$17*S134</f>
        <v/>
      </c>
      <c r="P134" s="54">
        <f>INDEX('Auto Feed'!$I$2:$I$139,MATCH($B134,'Auto Feed'!$A$2:$A$139,0))</f>
        <v/>
      </c>
      <c r="Q134" s="54">
        <f>INDEX('Auto Feed'!$J$2:$J$139,MATCH($B134,'Auto Feed'!$A$2:$A$139,0))</f>
        <v/>
      </c>
      <c r="R134" s="54">
        <f>((P134-AVERAGE('Auto Feed'!$I$2:$I$139))/STDEV('Auto Feed'!$I$2:$I$139))-((Q134-AVERAGE('Auto Feed'!$J$2:$J$139))/STDEV('Auto Feed'!$J$2:$J$139))</f>
        <v/>
      </c>
      <c r="S134" s="54">
        <f>((R134-AVERAGE($R$2:$R$139))/STDEV($R$2:$R$139))*'Weights &amp; Params'!$B$14</f>
        <v/>
      </c>
    </row>
    <row r="135">
      <c r="A135" s="12">
        <f>RANK(O135,$O$2:$O$139,0)</f>
        <v/>
      </c>
      <c r="B135" s="30" t="inlineStr">
        <is>
          <t>Western Michigan</t>
        </is>
      </c>
      <c r="C135" s="23">
        <f>INDEX('Auto Feed'!$B$2:$B$139,MATCH($B135,'Auto Feed'!$A$2:$A$139,0))</f>
        <v/>
      </c>
      <c r="D135" s="31">
        <f>INDEX('Weekly Input'!$B$2:$B$139,MATCH($B135,'Weekly Input'!$A$2:$A$139,0))</f>
        <v/>
      </c>
      <c r="E135" s="31">
        <f>INDEX('Auto Feed'!$C$2:$C$139,MATCH($B135,'Auto Feed'!$A$2:$A$139,0))</f>
        <v/>
      </c>
      <c r="F135" s="31">
        <f>INDEX('Auto Feed'!$D$2:$D$139,MATCH($B135,'Auto Feed'!$A$2:$A$139,0))</f>
        <v/>
      </c>
      <c r="G135" s="51">
        <f>INDEX('Auto Feed'!$E$2:$E$139,MATCH($B135,'Auto Feed'!$A$2:$A$139,0))</f>
        <v/>
      </c>
      <c r="H135" s="51">
        <f>INDEX('Auto Feed'!$F$2:$F$139,MATCH($B135,'Auto Feed'!$A$2:$A$139,0))</f>
        <v/>
      </c>
      <c r="I135" s="51">
        <f>INDEX('Auto Feed'!$G$2:$G$139,MATCH($B135,'Auto Feed'!$A$2:$A$139,0))</f>
        <v/>
      </c>
      <c r="J135" s="51">
        <f>INDEX('Auto Feed'!$H$2:$H$139,MATCH($B135,'Auto Feed'!$A$2:$A$139,0))</f>
        <v/>
      </c>
      <c r="K135" s="32">
        <f>((G135-AVERAGE('Auto Feed'!$E$2:$E$139))/STDEV('Auto Feed'!$E$2:$E$139))+((H135-AVERAGE('Auto Feed'!$F$2:$F$139))/STDEV('Auto Feed'!$F$2:$F$139))+((I135-AVERAGE('Auto Feed'!$G$2:$G$139))/STDEV('Auto Feed'!$G$2:$G$139))-((J135-AVERAGE('Auto Feed'!$H$2:$H$139))/STDEV('Auto Feed'!$H$2:$H$139))</f>
        <v/>
      </c>
      <c r="L135" s="31">
        <f>((E135-AVERAGE('Auto Feed'!$C$2:$C$139))/STDEV('Auto Feed'!$C$2:$C$139))*'Weights &amp; Params'!$B$14</f>
        <v/>
      </c>
      <c r="M135" s="31">
        <f>((F135-AVERAGE('Auto Feed'!$D$2:$D$139))/STDEV('Auto Feed'!$D$2:$D$139))*'Weights &amp; Params'!$B$14</f>
        <v/>
      </c>
      <c r="N135" s="31">
        <f>((K135-AVERAGE($K$2:$K$139))/STDEV($K$2:$K$139))*'Weights &amp; Params'!$B$14</f>
        <v/>
      </c>
      <c r="O135" s="33">
        <f>'Weights &amp; Params'!$B$5*D135+'Weights &amp; Params'!$B$6*L135+'Weights &amp; Params'!$B$7*M135+'Weights &amp; Params'!$B$8*N135+'Weights &amp; Params'!$B$17*S135</f>
        <v/>
      </c>
      <c r="P135" s="54">
        <f>INDEX('Auto Feed'!$I$2:$I$139,MATCH($B135,'Auto Feed'!$A$2:$A$139,0))</f>
        <v/>
      </c>
      <c r="Q135" s="54">
        <f>INDEX('Auto Feed'!$J$2:$J$139,MATCH($B135,'Auto Feed'!$A$2:$A$139,0))</f>
        <v/>
      </c>
      <c r="R135" s="54">
        <f>((P135-AVERAGE('Auto Feed'!$I$2:$I$139))/STDEV('Auto Feed'!$I$2:$I$139))-((Q135-AVERAGE('Auto Feed'!$J$2:$J$139))/STDEV('Auto Feed'!$J$2:$J$139))</f>
        <v/>
      </c>
      <c r="S135" s="54">
        <f>((R135-AVERAGE($R$2:$R$139))/STDEV($R$2:$R$139))*'Weights &amp; Params'!$B$14</f>
        <v/>
      </c>
    </row>
    <row r="136">
      <c r="A136" s="12">
        <f>RANK(O136,$O$2:$O$139,0)</f>
        <v/>
      </c>
      <c r="B136" s="30" t="inlineStr">
        <is>
          <t>Wisconsin</t>
        </is>
      </c>
      <c r="C136" s="23">
        <f>INDEX('Auto Feed'!$B$2:$B$139,MATCH($B136,'Auto Feed'!$A$2:$A$139,0))</f>
        <v/>
      </c>
      <c r="D136" s="31">
        <f>INDEX('Weekly Input'!$B$2:$B$139,MATCH($B136,'Weekly Input'!$A$2:$A$139,0))</f>
        <v/>
      </c>
      <c r="E136" s="31">
        <f>INDEX('Auto Feed'!$C$2:$C$139,MATCH($B136,'Auto Feed'!$A$2:$A$139,0))</f>
        <v/>
      </c>
      <c r="F136" s="31">
        <f>INDEX('Auto Feed'!$D$2:$D$139,MATCH($B136,'Auto Feed'!$A$2:$A$139,0))</f>
        <v/>
      </c>
      <c r="G136" s="51">
        <f>INDEX('Auto Feed'!$E$2:$E$139,MATCH($B136,'Auto Feed'!$A$2:$A$139,0))</f>
        <v/>
      </c>
      <c r="H136" s="51">
        <f>INDEX('Auto Feed'!$F$2:$F$139,MATCH($B136,'Auto Feed'!$A$2:$A$139,0))</f>
        <v/>
      </c>
      <c r="I136" s="51">
        <f>INDEX('Auto Feed'!$G$2:$G$139,MATCH($B136,'Auto Feed'!$A$2:$A$139,0))</f>
        <v/>
      </c>
      <c r="J136" s="51">
        <f>INDEX('Auto Feed'!$H$2:$H$139,MATCH($B136,'Auto Feed'!$A$2:$A$139,0))</f>
        <v/>
      </c>
      <c r="K136" s="32">
        <f>((G136-AVERAGE('Auto Feed'!$E$2:$E$139))/STDEV('Auto Feed'!$E$2:$E$139))+((H136-AVERAGE('Auto Feed'!$F$2:$F$139))/STDEV('Auto Feed'!$F$2:$F$139))+((I136-AVERAGE('Auto Feed'!$G$2:$G$139))/STDEV('Auto Feed'!$G$2:$G$139))-((J136-AVERAGE('Auto Feed'!$H$2:$H$139))/STDEV('Auto Feed'!$H$2:$H$139))</f>
        <v/>
      </c>
      <c r="L136" s="31">
        <f>((E136-AVERAGE('Auto Feed'!$C$2:$C$139))/STDEV('Auto Feed'!$C$2:$C$139))*'Weights &amp; Params'!$B$14</f>
        <v/>
      </c>
      <c r="M136" s="31">
        <f>((F136-AVERAGE('Auto Feed'!$D$2:$D$139))/STDEV('Auto Feed'!$D$2:$D$139))*'Weights &amp; Params'!$B$14</f>
        <v/>
      </c>
      <c r="N136" s="31">
        <f>((K136-AVERAGE($K$2:$K$139))/STDEV($K$2:$K$139))*'Weights &amp; Params'!$B$14</f>
        <v/>
      </c>
      <c r="O136" s="33">
        <f>'Weights &amp; Params'!$B$5*D136+'Weights &amp; Params'!$B$6*L136+'Weights &amp; Params'!$B$7*M136+'Weights &amp; Params'!$B$8*N136+'Weights &amp; Params'!$B$17*S136</f>
        <v/>
      </c>
      <c r="P136" s="54">
        <f>INDEX('Auto Feed'!$I$2:$I$139,MATCH($B136,'Auto Feed'!$A$2:$A$139,0))</f>
        <v/>
      </c>
      <c r="Q136" s="54">
        <f>INDEX('Auto Feed'!$J$2:$J$139,MATCH($B136,'Auto Feed'!$A$2:$A$139,0))</f>
        <v/>
      </c>
      <c r="R136" s="54">
        <f>((P136-AVERAGE('Auto Feed'!$I$2:$I$139))/STDEV('Auto Feed'!$I$2:$I$139))-((Q136-AVERAGE('Auto Feed'!$J$2:$J$139))/STDEV('Auto Feed'!$J$2:$J$139))</f>
        <v/>
      </c>
      <c r="S136" s="54">
        <f>((R136-AVERAGE($R$2:$R$139))/STDEV($R$2:$R$139))*'Weights &amp; Params'!$B$14</f>
        <v/>
      </c>
    </row>
    <row r="137">
      <c r="A137" s="12">
        <f>RANK(O137,$O$2:$O$139,0)</f>
        <v/>
      </c>
      <c r="B137" s="30" t="inlineStr">
        <is>
          <t>Wyoming</t>
        </is>
      </c>
      <c r="C137" s="23">
        <f>INDEX('Auto Feed'!$B$2:$B$139,MATCH($B137,'Auto Feed'!$A$2:$A$139,0))</f>
        <v/>
      </c>
      <c r="D137" s="31">
        <f>INDEX('Weekly Input'!$B$2:$B$139,MATCH($B137,'Weekly Input'!$A$2:$A$139,0))</f>
        <v/>
      </c>
      <c r="E137" s="31">
        <f>INDEX('Auto Feed'!$C$2:$C$139,MATCH($B137,'Auto Feed'!$A$2:$A$139,0))</f>
        <v/>
      </c>
      <c r="F137" s="31">
        <f>INDEX('Auto Feed'!$D$2:$D$139,MATCH($B137,'Auto Feed'!$A$2:$A$139,0))</f>
        <v/>
      </c>
      <c r="G137" s="51">
        <f>INDEX('Auto Feed'!$E$2:$E$139,MATCH($B137,'Auto Feed'!$A$2:$A$139,0))</f>
        <v/>
      </c>
      <c r="H137" s="51">
        <f>INDEX('Auto Feed'!$F$2:$F$139,MATCH($B137,'Auto Feed'!$A$2:$A$139,0))</f>
        <v/>
      </c>
      <c r="I137" s="51">
        <f>INDEX('Auto Feed'!$G$2:$G$139,MATCH($B137,'Auto Feed'!$A$2:$A$139,0))</f>
        <v/>
      </c>
      <c r="J137" s="51">
        <f>INDEX('Auto Feed'!$H$2:$H$139,MATCH($B137,'Auto Feed'!$A$2:$A$139,0))</f>
        <v/>
      </c>
      <c r="K137" s="32">
        <f>((G137-AVERAGE('Auto Feed'!$E$2:$E$139))/STDEV('Auto Feed'!$E$2:$E$139))+((H137-AVERAGE('Auto Feed'!$F$2:$F$139))/STDEV('Auto Feed'!$F$2:$F$139))+((I137-AVERAGE('Auto Feed'!$G$2:$G$139))/STDEV('Auto Feed'!$G$2:$G$139))-((J137-AVERAGE('Auto Feed'!$H$2:$H$139))/STDEV('Auto Feed'!$H$2:$H$139))</f>
        <v/>
      </c>
      <c r="L137" s="31">
        <f>((E137-AVERAGE('Auto Feed'!$C$2:$C$139))/STDEV('Auto Feed'!$C$2:$C$139))*'Weights &amp; Params'!$B$14</f>
        <v/>
      </c>
      <c r="M137" s="31">
        <f>((F137-AVERAGE('Auto Feed'!$D$2:$D$139))/STDEV('Auto Feed'!$D$2:$D$139))*'Weights &amp; Params'!$B$14</f>
        <v/>
      </c>
      <c r="N137" s="31">
        <f>((K137-AVERAGE($K$2:$K$139))/STDEV($K$2:$K$139))*'Weights &amp; Params'!$B$14</f>
        <v/>
      </c>
      <c r="O137" s="33">
        <f>'Weights &amp; Params'!$B$5*D137+'Weights &amp; Params'!$B$6*L137+'Weights &amp; Params'!$B$7*M137+'Weights &amp; Params'!$B$8*N137+'Weights &amp; Params'!$B$17*S137</f>
        <v/>
      </c>
      <c r="P137" s="54">
        <f>INDEX('Auto Feed'!$I$2:$I$139,MATCH($B137,'Auto Feed'!$A$2:$A$139,0))</f>
        <v/>
      </c>
      <c r="Q137" s="54">
        <f>INDEX('Auto Feed'!$J$2:$J$139,MATCH($B137,'Auto Feed'!$A$2:$A$139,0))</f>
        <v/>
      </c>
      <c r="R137" s="54">
        <f>((P137-AVERAGE('Auto Feed'!$I$2:$I$139))/STDEV('Auto Feed'!$I$2:$I$139))-((Q137-AVERAGE('Auto Feed'!$J$2:$J$139))/STDEV('Auto Feed'!$J$2:$J$139))</f>
        <v/>
      </c>
      <c r="S137" s="54">
        <f>((R137-AVERAGE($R$2:$R$139))/STDEV($R$2:$R$139))*'Weights &amp; Params'!$B$14</f>
        <v/>
      </c>
    </row>
    <row r="138">
      <c r="A138" s="12">
        <f>RANK(O138,$O$2:$O$139,0)</f>
        <v/>
      </c>
      <c r="B138" s="30" t="inlineStr">
        <is>
          <t>North Dakota State</t>
        </is>
      </c>
      <c r="C138" s="23">
        <f>INDEX('Auto Feed'!$B$2:$B$139,MATCH($B138,'Auto Feed'!$A$2:$A$139,0))</f>
        <v/>
      </c>
      <c r="D138" s="31">
        <f>INDEX('Weekly Input'!$B$2:$B$139,MATCH($B138,'Weekly Input'!$A$2:$A$139,0))</f>
        <v/>
      </c>
      <c r="E138" s="31">
        <f>INDEX('Auto Feed'!$C$2:$C$139,MATCH($B138,'Auto Feed'!$A$2:$A$139,0))</f>
        <v/>
      </c>
      <c r="F138" s="31">
        <f>INDEX('Auto Feed'!$D$2:$D$139,MATCH($B138,'Auto Feed'!$A$2:$A$139,0))</f>
        <v/>
      </c>
      <c r="G138" s="51">
        <f>INDEX('Auto Feed'!$E$2:$E$139,MATCH($B138,'Auto Feed'!$A$2:$A$139,0))</f>
        <v/>
      </c>
      <c r="H138" s="51">
        <f>INDEX('Auto Feed'!$F$2:$F$139,MATCH($B138,'Auto Feed'!$A$2:$A$139,0))</f>
        <v/>
      </c>
      <c r="I138" s="51">
        <f>INDEX('Auto Feed'!$G$2:$G$139,MATCH($B138,'Auto Feed'!$A$2:$A$139,0))</f>
        <v/>
      </c>
      <c r="J138" s="51">
        <f>INDEX('Auto Feed'!$H$2:$H$139,MATCH($B138,'Auto Feed'!$A$2:$A$139,0))</f>
        <v/>
      </c>
      <c r="K138" s="32">
        <f>((G138-AVERAGE('Auto Feed'!$E$2:$E$139))/STDEV('Auto Feed'!$E$2:$E$139))+((H138-AVERAGE('Auto Feed'!$F$2:$F$139))/STDEV('Auto Feed'!$F$2:$F$139))+((I138-AVERAGE('Auto Feed'!$G$2:$G$139))/STDEV('Auto Feed'!$G$2:$G$139))-((J138-AVERAGE('Auto Feed'!$H$2:$H$139))/STDEV('Auto Feed'!$H$2:$H$139))</f>
        <v/>
      </c>
      <c r="L138" s="31">
        <f>((E138-AVERAGE('Auto Feed'!$C$2:$C$139))/STDEV('Auto Feed'!$C$2:$C$139))*'Weights &amp; Params'!$B$14</f>
        <v/>
      </c>
      <c r="M138" s="31">
        <f>((F138-AVERAGE('Auto Feed'!$D$2:$D$139))/STDEV('Auto Feed'!$D$2:$D$139))*'Weights &amp; Params'!$B$14</f>
        <v/>
      </c>
      <c r="N138" s="31">
        <f>((K138-AVERAGE($K$2:$K$139))/STDEV($K$2:$K$139))*'Weights &amp; Params'!$B$14</f>
        <v/>
      </c>
      <c r="O138" s="33">
        <f>'Weights &amp; Params'!$B$5*D138+'Weights &amp; Params'!$B$6*L138+'Weights &amp; Params'!$B$7*M138+'Weights &amp; Params'!$B$8*N138+'Weights &amp; Params'!$B$17*S138</f>
        <v/>
      </c>
      <c r="P138" s="54">
        <f>INDEX('Auto Feed'!$I$2:$I$139,MATCH($B138,'Auto Feed'!$A$2:$A$139,0))</f>
        <v/>
      </c>
      <c r="Q138" s="54">
        <f>INDEX('Auto Feed'!$J$2:$J$139,MATCH($B138,'Auto Feed'!$A$2:$A$139,0))</f>
        <v/>
      </c>
      <c r="R138" s="54">
        <f>((P138-AVERAGE('Auto Feed'!$I$2:$I$139))/STDEV('Auto Feed'!$I$2:$I$139))-((Q138-AVERAGE('Auto Feed'!$J$2:$J$139))/STDEV('Auto Feed'!$J$2:$J$139))</f>
        <v/>
      </c>
      <c r="S138" s="54">
        <f>((R138-AVERAGE($R$2:$R$139))/STDEV($R$2:$R$139))*'Weights &amp; Params'!$B$14</f>
        <v/>
      </c>
    </row>
    <row r="139">
      <c r="A139" s="12">
        <f>RANK(O139,$O$2:$O$139,0)</f>
        <v/>
      </c>
      <c r="B139" s="30" t="inlineStr">
        <is>
          <t>Sacramento State</t>
        </is>
      </c>
      <c r="C139" s="23">
        <f>INDEX('Auto Feed'!$B$2:$B$139,MATCH($B139,'Auto Feed'!$A$2:$A$139,0))</f>
        <v/>
      </c>
      <c r="D139" s="31">
        <f>INDEX('Weekly Input'!$B$2:$B$139,MATCH($B139,'Weekly Input'!$A$2:$A$139,0))</f>
        <v/>
      </c>
      <c r="E139" s="31">
        <f>INDEX('Auto Feed'!$C$2:$C$139,MATCH($B139,'Auto Feed'!$A$2:$A$139,0))</f>
        <v/>
      </c>
      <c r="F139" s="31">
        <f>INDEX('Auto Feed'!$D$2:$D$139,MATCH($B139,'Auto Feed'!$A$2:$A$139,0))</f>
        <v/>
      </c>
      <c r="G139" s="51">
        <f>INDEX('Auto Feed'!$E$2:$E$139,MATCH($B139,'Auto Feed'!$A$2:$A$139,0))</f>
        <v/>
      </c>
      <c r="H139" s="51">
        <f>INDEX('Auto Feed'!$F$2:$F$139,MATCH($B139,'Auto Feed'!$A$2:$A$139,0))</f>
        <v/>
      </c>
      <c r="I139" s="51">
        <f>INDEX('Auto Feed'!$G$2:$G$139,MATCH($B139,'Auto Feed'!$A$2:$A$139,0))</f>
        <v/>
      </c>
      <c r="J139" s="51">
        <f>INDEX('Auto Feed'!$H$2:$H$139,MATCH($B139,'Auto Feed'!$A$2:$A$139,0))</f>
        <v/>
      </c>
      <c r="K139" s="32">
        <f>((G139-AVERAGE('Auto Feed'!$E$2:$E$139))/STDEV('Auto Feed'!$E$2:$E$139))+((H139-AVERAGE('Auto Feed'!$F$2:$F$139))/STDEV('Auto Feed'!$F$2:$F$139))+((I139-AVERAGE('Auto Feed'!$G$2:$G$139))/STDEV('Auto Feed'!$G$2:$G$139))-((J139-AVERAGE('Auto Feed'!$H$2:$H$139))/STDEV('Auto Feed'!$H$2:$H$139))</f>
        <v/>
      </c>
      <c r="L139" s="31">
        <f>((E139-AVERAGE('Auto Feed'!$C$2:$C$139))/STDEV('Auto Feed'!$C$2:$C$139))*'Weights &amp; Params'!$B$14</f>
        <v/>
      </c>
      <c r="M139" s="31">
        <f>((F139-AVERAGE('Auto Feed'!$D$2:$D$139))/STDEV('Auto Feed'!$D$2:$D$139))*'Weights &amp; Params'!$B$14</f>
        <v/>
      </c>
      <c r="N139" s="31">
        <f>((K139-AVERAGE($K$2:$K$139))/STDEV($K$2:$K$139))*'Weights &amp; Params'!$B$14</f>
        <v/>
      </c>
      <c r="O139" s="33">
        <f>'Weights &amp; Params'!$B$5*D139+'Weights &amp; Params'!$B$6*L139+'Weights &amp; Params'!$B$7*M139+'Weights &amp; Params'!$B$8*N139+'Weights &amp; Params'!$B$17*S139</f>
        <v/>
      </c>
      <c r="P139" s="54">
        <f>INDEX('Auto Feed'!$I$2:$I$139,MATCH($B139,'Auto Feed'!$A$2:$A$139,0))</f>
        <v/>
      </c>
      <c r="Q139" s="54">
        <f>INDEX('Auto Feed'!$J$2:$J$139,MATCH($B139,'Auto Feed'!$A$2:$A$139,0))</f>
        <v/>
      </c>
      <c r="R139" s="54">
        <f>((P139-AVERAGE('Auto Feed'!$I$2:$I$139))/STDEV('Auto Feed'!$I$2:$I$139))-((Q139-AVERAGE('Auto Feed'!$J$2:$J$139))/STDEV('Auto Feed'!$J$2:$J$139))</f>
        <v/>
      </c>
      <c r="S139" s="54">
        <f>((R139-AVERAGE($R$2:$R$139))/STDEV($R$2:$R$139))*'Weights &amp; Params'!$B$14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8" t="inlineStr">
        <is>
          <t>Team</t>
        </is>
      </c>
      <c r="B1" s="18" t="inlineStr">
        <is>
          <t>SP+ Overall</t>
        </is>
      </c>
      <c r="C1" s="18" t="inlineStr">
        <is>
          <t>SP+ Offense</t>
        </is>
      </c>
      <c r="D1" s="18" t="inlineStr">
        <is>
          <t>SP+ Defense</t>
        </is>
      </c>
      <c r="E1" s="18" t="inlineStr">
        <is>
          <t>Yards / Play</t>
        </is>
      </c>
    </row>
    <row r="2">
      <c r="A2" s="30" t="inlineStr">
        <is>
          <t>Air Force</t>
        </is>
      </c>
      <c r="B2" s="20" t="n">
        <v>-2.8</v>
      </c>
      <c r="C2" s="20" t="n">
        <v>25.4</v>
      </c>
      <c r="D2" s="20" t="n">
        <v>28.3</v>
      </c>
      <c r="E2" s="20" t="n">
        <v>5.81</v>
      </c>
    </row>
    <row r="3">
      <c r="A3" s="30" t="inlineStr">
        <is>
          <t>Akron</t>
        </is>
      </c>
      <c r="B3" s="20" t="n">
        <v>-20.8</v>
      </c>
      <c r="C3" s="20" t="n">
        <v>13.4</v>
      </c>
      <c r="D3" s="20" t="n">
        <v>33.6</v>
      </c>
      <c r="E3" s="20" t="n">
        <v>5.22</v>
      </c>
    </row>
    <row r="4">
      <c r="A4" s="30" t="inlineStr">
        <is>
          <t>Alabama</t>
        </is>
      </c>
      <c r="B4" s="20" t="n">
        <v>19.5</v>
      </c>
      <c r="C4" s="20" t="n">
        <v>34.5</v>
      </c>
      <c r="D4" s="20" t="n">
        <v>14.7</v>
      </c>
      <c r="E4" s="20" t="n">
        <v>6.65</v>
      </c>
    </row>
    <row r="5">
      <c r="A5" s="30" t="inlineStr">
        <is>
          <t>Appalachian State</t>
        </is>
      </c>
      <c r="B5" s="20" t="n">
        <v>-6.3</v>
      </c>
      <c r="C5" s="20" t="n">
        <v>23.4</v>
      </c>
      <c r="D5" s="20" t="n">
        <v>30.1</v>
      </c>
      <c r="E5" s="20" t="n">
        <v>6.72</v>
      </c>
    </row>
    <row r="6">
      <c r="A6" s="30" t="inlineStr">
        <is>
          <t>Arizona</t>
        </is>
      </c>
      <c r="B6" s="20" t="n">
        <v>9.800000000000001</v>
      </c>
      <c r="C6" s="20" t="n">
        <v>31.7</v>
      </c>
      <c r="D6" s="20" t="n">
        <v>21.6</v>
      </c>
      <c r="E6" s="20" t="n">
        <v>6.51</v>
      </c>
    </row>
    <row r="7">
      <c r="A7" s="30" t="inlineStr">
        <is>
          <t>Arizona State</t>
        </is>
      </c>
      <c r="B7" s="20" t="n">
        <v>5.3</v>
      </c>
      <c r="C7" s="20" t="n">
        <v>27.5</v>
      </c>
      <c r="D7" s="20" t="n">
        <v>21.7</v>
      </c>
      <c r="E7" s="20" t="n">
        <v>6.39</v>
      </c>
    </row>
    <row r="8">
      <c r="A8" s="30" t="inlineStr">
        <is>
          <t>Arkansas</t>
        </is>
      </c>
      <c r="B8" s="20" t="n">
        <v>-0.3</v>
      </c>
      <c r="C8" s="20" t="n">
        <v>30.6</v>
      </c>
      <c r="D8" s="20" t="n">
        <v>31.1</v>
      </c>
      <c r="E8" s="20" t="n">
        <v>4.59</v>
      </c>
    </row>
    <row r="9">
      <c r="A9" s="30" t="inlineStr">
        <is>
          <t>Arkansas State</t>
        </is>
      </c>
      <c r="B9" s="20" t="n">
        <v>-9.5</v>
      </c>
      <c r="C9" s="20" t="n">
        <v>23.7</v>
      </c>
      <c r="D9" s="20" t="n">
        <v>33.3</v>
      </c>
      <c r="E9" s="20" t="n">
        <v>6.39</v>
      </c>
    </row>
    <row r="10">
      <c r="A10" s="30" t="inlineStr">
        <is>
          <t>Army</t>
        </is>
      </c>
      <c r="B10" s="20" t="n">
        <v>0.2</v>
      </c>
      <c r="C10" s="20" t="n">
        <v>26.5</v>
      </c>
      <c r="D10" s="20" t="n">
        <v>26.3</v>
      </c>
      <c r="E10" s="20" t="n">
        <v>7.54</v>
      </c>
    </row>
    <row r="11">
      <c r="A11" s="30" t="inlineStr">
        <is>
          <t>Auburn</t>
        </is>
      </c>
      <c r="B11" s="20" t="n">
        <v>11.6</v>
      </c>
      <c r="C11" s="20" t="n">
        <v>29.3</v>
      </c>
      <c r="D11" s="20" t="n">
        <v>18</v>
      </c>
      <c r="E11" s="20" t="n">
        <v>6.07</v>
      </c>
    </row>
    <row r="12">
      <c r="A12" s="30" t="inlineStr">
        <is>
          <t>BYU</t>
        </is>
      </c>
      <c r="B12" s="20" t="n">
        <v>17.5</v>
      </c>
      <c r="C12" s="20" t="n">
        <v>35</v>
      </c>
      <c r="D12" s="20" t="n">
        <v>17.7</v>
      </c>
      <c r="E12" s="20" t="n">
        <v>7.94</v>
      </c>
    </row>
    <row r="13">
      <c r="A13" s="30" t="inlineStr">
        <is>
          <t>Ball State</t>
        </is>
      </c>
      <c r="B13" s="20" t="n">
        <v>-24.3</v>
      </c>
      <c r="C13" s="20" t="n">
        <v>13.5</v>
      </c>
      <c r="D13" s="20" t="n">
        <v>37.2</v>
      </c>
      <c r="E13" s="20" t="n">
        <v>4.93</v>
      </c>
    </row>
    <row r="14">
      <c r="A14" s="30" t="inlineStr">
        <is>
          <t>Baylor</t>
        </is>
      </c>
      <c r="B14" s="20" t="n">
        <v>6.8</v>
      </c>
      <c r="C14" s="20" t="n">
        <v>31.7</v>
      </c>
      <c r="D14" s="20" t="n">
        <v>25.4</v>
      </c>
      <c r="E14" s="20" t="n">
        <v>5.6</v>
      </c>
    </row>
    <row r="15">
      <c r="A15" s="30" t="inlineStr">
        <is>
          <t>Boise State</t>
        </is>
      </c>
      <c r="B15" s="20" t="n">
        <v>6.9</v>
      </c>
      <c r="C15" s="20" t="n">
        <v>31.2</v>
      </c>
      <c r="D15" s="20" t="n">
        <v>24.1</v>
      </c>
      <c r="E15" s="20" t="n">
        <v>6.32</v>
      </c>
    </row>
    <row r="16">
      <c r="A16" s="30" t="inlineStr">
        <is>
          <t>Boston College</t>
        </is>
      </c>
      <c r="B16" s="20" t="n">
        <v>-4.9</v>
      </c>
      <c r="C16" s="20" t="n">
        <v>22.8</v>
      </c>
      <c r="D16" s="20" t="n">
        <v>28</v>
      </c>
      <c r="E16" s="20" t="n">
        <v>5.92</v>
      </c>
    </row>
    <row r="17">
      <c r="A17" s="30" t="inlineStr">
        <is>
          <t>Bowling Green</t>
        </is>
      </c>
      <c r="B17" s="20" t="n">
        <v>-22</v>
      </c>
      <c r="C17" s="20" t="n">
        <v>11.9</v>
      </c>
      <c r="D17" s="20" t="n">
        <v>34.2</v>
      </c>
      <c r="E17" s="20" t="n">
        <v>4.32</v>
      </c>
    </row>
    <row r="18">
      <c r="A18" s="30" t="inlineStr">
        <is>
          <t>Buffalo</t>
        </is>
      </c>
      <c r="B18" s="20" t="n">
        <v>-16.1</v>
      </c>
      <c r="C18" s="20" t="n">
        <v>14.3</v>
      </c>
      <c r="D18" s="20" t="n">
        <v>30.9</v>
      </c>
      <c r="E18" s="20" t="n">
        <v>3.93</v>
      </c>
    </row>
    <row r="19">
      <c r="A19" s="30" t="inlineStr">
        <is>
          <t>California</t>
        </is>
      </c>
      <c r="B19" s="20" t="n">
        <v>0.8</v>
      </c>
      <c r="C19" s="20" t="n">
        <v>27.6</v>
      </c>
      <c r="D19" s="20" t="n">
        <v>26.5</v>
      </c>
      <c r="E19" s="20" t="n">
        <v>5.89</v>
      </c>
    </row>
    <row r="20">
      <c r="A20" s="30" t="inlineStr">
        <is>
          <t>Central Michigan</t>
        </is>
      </c>
      <c r="B20" s="20" t="n">
        <v>-14.9</v>
      </c>
      <c r="C20" s="20" t="n">
        <v>14.9</v>
      </c>
      <c r="D20" s="20" t="n">
        <v>29.6</v>
      </c>
      <c r="E20" s="20" t="n">
        <v>4.5</v>
      </c>
    </row>
    <row r="21">
      <c r="A21" s="30" t="inlineStr">
        <is>
          <t>Charlotte</t>
        </is>
      </c>
      <c r="B21" s="20" t="n">
        <v>-24.1</v>
      </c>
      <c r="C21" s="20" t="n">
        <v>15</v>
      </c>
      <c r="D21" s="20" t="n">
        <v>38.7</v>
      </c>
      <c r="E21" s="20" t="n">
        <v>5.68</v>
      </c>
    </row>
    <row r="22">
      <c r="A22" s="30" t="inlineStr">
        <is>
          <t>Cincinnati</t>
        </is>
      </c>
      <c r="B22" s="20" t="n">
        <v>8</v>
      </c>
      <c r="C22" s="20" t="n">
        <v>32.3</v>
      </c>
      <c r="D22" s="20" t="n">
        <v>24.6</v>
      </c>
      <c r="E22" s="20" t="n">
        <v>6.8</v>
      </c>
    </row>
    <row r="23">
      <c r="A23" s="30" t="inlineStr">
        <is>
          <t>Clemson</t>
        </is>
      </c>
      <c r="B23" s="20" t="n">
        <v>7.1</v>
      </c>
      <c r="C23" s="20" t="n">
        <v>26.4</v>
      </c>
      <c r="D23" s="20" t="n">
        <v>19.6</v>
      </c>
      <c r="E23" s="20" t="n">
        <v>4.75</v>
      </c>
    </row>
    <row r="24">
      <c r="A24" s="30" t="inlineStr">
        <is>
          <t>Coastal Carolina</t>
        </is>
      </c>
      <c r="B24" s="20" t="n">
        <v>-10.2</v>
      </c>
      <c r="C24" s="20" t="n">
        <v>23.1</v>
      </c>
      <c r="D24" s="20" t="n">
        <v>32.9</v>
      </c>
      <c r="E24" s="20" t="n">
        <v>6.55</v>
      </c>
    </row>
    <row r="25">
      <c r="A25" s="30" t="inlineStr">
        <is>
          <t>Colorado</t>
        </is>
      </c>
      <c r="B25" s="20" t="n">
        <v>-1.2</v>
      </c>
      <c r="C25" s="20" t="n">
        <v>24.9</v>
      </c>
      <c r="D25" s="20" t="n">
        <v>25.7</v>
      </c>
      <c r="E25" s="20" t="n">
        <v>5.84</v>
      </c>
    </row>
    <row r="26">
      <c r="A26" s="30" t="inlineStr">
        <is>
          <t>Colorado State</t>
        </is>
      </c>
      <c r="B26" s="20" t="n">
        <v>-6.6</v>
      </c>
      <c r="C26" s="20" t="n">
        <v>21.7</v>
      </c>
      <c r="D26" s="20" t="n">
        <v>28.2</v>
      </c>
      <c r="E26" s="20" t="n">
        <v>6.85</v>
      </c>
    </row>
    <row r="27">
      <c r="A27" s="30" t="inlineStr">
        <is>
          <t>Delaware</t>
        </is>
      </c>
      <c r="B27" s="20" t="n">
        <v>-8.1</v>
      </c>
      <c r="C27" s="20" t="n">
        <v>24.5</v>
      </c>
      <c r="D27" s="20" t="n">
        <v>32.3</v>
      </c>
      <c r="E27" s="20" t="n">
        <v>6.27</v>
      </c>
    </row>
    <row r="28">
      <c r="A28" s="30" t="inlineStr">
        <is>
          <t>Duke</t>
        </is>
      </c>
      <c r="B28" s="20" t="n">
        <v>7</v>
      </c>
      <c r="C28" s="20" t="n">
        <v>31.9</v>
      </c>
      <c r="D28" s="20" t="n">
        <v>25.2</v>
      </c>
      <c r="E28" s="20" t="n">
        <v>5.99</v>
      </c>
    </row>
    <row r="29">
      <c r="A29" s="30" t="inlineStr">
        <is>
          <t>East Carolina</t>
        </is>
      </c>
      <c r="B29" s="20" t="n">
        <v>-5.6</v>
      </c>
      <c r="C29" s="20" t="n">
        <v>22.1</v>
      </c>
      <c r="D29" s="20" t="n">
        <v>27.5</v>
      </c>
      <c r="E29" s="20" t="n">
        <v>4.72</v>
      </c>
    </row>
    <row r="30">
      <c r="A30" s="30" t="inlineStr">
        <is>
          <t>Eastern Michigan</t>
        </is>
      </c>
      <c r="B30" s="20" t="n">
        <v>-18.9</v>
      </c>
      <c r="C30" s="20" t="n">
        <v>15.8</v>
      </c>
      <c r="D30" s="20" t="n">
        <v>34.5</v>
      </c>
      <c r="E30" s="20" t="n">
        <v>4.29</v>
      </c>
    </row>
    <row r="31">
      <c r="A31" s="30" t="inlineStr">
        <is>
          <t>Florida</t>
        </is>
      </c>
      <c r="B31" s="20" t="n">
        <v>17.8</v>
      </c>
      <c r="C31" s="20" t="n">
        <v>34.2</v>
      </c>
      <c r="D31" s="20" t="n">
        <v>16.9</v>
      </c>
      <c r="E31" s="20" t="n">
        <v>7.97</v>
      </c>
    </row>
    <row r="32">
      <c r="A32" s="30" t="inlineStr">
        <is>
          <t>Florida Atlantic</t>
        </is>
      </c>
      <c r="B32" s="20" t="n">
        <v>-7.4</v>
      </c>
      <c r="C32" s="20" t="n">
        <v>26.4</v>
      </c>
      <c r="D32" s="20" t="n">
        <v>34.2</v>
      </c>
      <c r="E32" s="20" t="n">
        <v>4.62</v>
      </c>
    </row>
    <row r="33">
      <c r="A33" s="30" t="inlineStr">
        <is>
          <t>Florida International</t>
        </is>
      </c>
      <c r="B33" s="20" t="n">
        <v>-12.3</v>
      </c>
      <c r="C33" s="20" t="n">
        <v>19.5</v>
      </c>
      <c r="D33" s="20" t="n">
        <v>31.6</v>
      </c>
      <c r="E33" s="20" t="n">
        <v>5.58</v>
      </c>
    </row>
    <row r="34">
      <c r="A34" s="30" t="inlineStr">
        <is>
          <t>Florida State</t>
        </is>
      </c>
      <c r="B34" s="20" t="n">
        <v>5.5</v>
      </c>
      <c r="C34" s="20" t="n">
        <v>30.2</v>
      </c>
      <c r="D34" s="20" t="n">
        <v>24.5</v>
      </c>
      <c r="E34" s="20" t="n">
        <v>6.13</v>
      </c>
    </row>
    <row r="35">
      <c r="A35" s="30" t="inlineStr">
        <is>
          <t>Fresno State</t>
        </is>
      </c>
      <c r="B35" s="20" t="n">
        <v>-0.4</v>
      </c>
      <c r="C35" s="20" t="n">
        <v>21.5</v>
      </c>
      <c r="D35" s="20" t="n">
        <v>22</v>
      </c>
      <c r="E35" s="20" t="n">
        <v>5.78</v>
      </c>
    </row>
    <row r="36">
      <c r="A36" s="30" t="inlineStr">
        <is>
          <t>Georgia</t>
        </is>
      </c>
      <c r="B36" s="20" t="n">
        <v>28.2</v>
      </c>
      <c r="C36" s="20" t="n">
        <v>40.7</v>
      </c>
      <c r="D36" s="20" t="n">
        <v>13</v>
      </c>
      <c r="E36" s="20" t="n">
        <v>8.84</v>
      </c>
    </row>
    <row r="37">
      <c r="A37" s="30" t="inlineStr">
        <is>
          <t>Georgia Southern</t>
        </is>
      </c>
      <c r="B37" s="20" t="n">
        <v>-7.7</v>
      </c>
      <c r="C37" s="20" t="n">
        <v>22.7</v>
      </c>
      <c r="D37" s="20" t="n">
        <v>30.4</v>
      </c>
      <c r="E37" s="20" t="n">
        <v>5.34</v>
      </c>
    </row>
    <row r="38">
      <c r="A38" s="30" t="inlineStr">
        <is>
          <t>Georgia State</t>
        </is>
      </c>
      <c r="B38" s="20" t="n">
        <v>-19.6</v>
      </c>
      <c r="C38" s="20" t="n">
        <v>20.2</v>
      </c>
      <c r="D38" s="20" t="n">
        <v>39.2</v>
      </c>
      <c r="E38" s="20" t="n">
        <v>6.8</v>
      </c>
    </row>
    <row r="39">
      <c r="A39" s="30" t="inlineStr">
        <is>
          <t>Georgia Tech</t>
        </is>
      </c>
      <c r="B39" s="20" t="n">
        <v>4.4</v>
      </c>
      <c r="C39" s="20" t="n">
        <v>27.9</v>
      </c>
      <c r="D39" s="20" t="n">
        <v>24</v>
      </c>
      <c r="E39" s="20" t="n">
        <v>5.61</v>
      </c>
    </row>
    <row r="40">
      <c r="A40" s="30" t="inlineStr">
        <is>
          <t>Hawaii</t>
        </is>
      </c>
      <c r="B40" s="20" t="n">
        <v>-7.1</v>
      </c>
      <c r="C40" s="20" t="n">
        <v>23.1</v>
      </c>
      <c r="D40" s="20" t="n">
        <v>30.7</v>
      </c>
      <c r="E40" s="20" t="n">
        <v>4.67</v>
      </c>
    </row>
    <row r="41">
      <c r="A41" s="30" t="inlineStr">
        <is>
          <t>Houston</t>
        </is>
      </c>
      <c r="B41" s="20" t="n">
        <v>10.8</v>
      </c>
      <c r="C41" s="20" t="n">
        <v>33.3</v>
      </c>
      <c r="D41" s="20" t="n">
        <v>22.3</v>
      </c>
      <c r="E41" s="20" t="n">
        <v>7.5</v>
      </c>
    </row>
    <row r="42">
      <c r="A42" s="30" t="inlineStr">
        <is>
          <t>Illinois</t>
        </is>
      </c>
      <c r="B42" s="20" t="n">
        <v>11.1</v>
      </c>
      <c r="C42" s="20" t="n">
        <v>33.7</v>
      </c>
      <c r="D42" s="20" t="n">
        <v>23</v>
      </c>
      <c r="E42" s="20" t="n">
        <v>7.24</v>
      </c>
    </row>
    <row r="43">
      <c r="A43" s="30" t="inlineStr">
        <is>
          <t>Indiana</t>
        </is>
      </c>
      <c r="B43" s="20" t="n">
        <v>25.8</v>
      </c>
      <c r="C43" s="20" t="n">
        <v>38.4</v>
      </c>
      <c r="D43" s="20" t="n">
        <v>13</v>
      </c>
      <c r="E43" s="20" t="n">
        <v>7.95</v>
      </c>
    </row>
    <row r="44">
      <c r="A44" s="30" t="inlineStr">
        <is>
          <t>Iowa</t>
        </is>
      </c>
      <c r="B44" s="20" t="n">
        <v>17.3</v>
      </c>
      <c r="C44" s="20" t="n">
        <v>31.4</v>
      </c>
      <c r="D44" s="20" t="n">
        <v>14.6</v>
      </c>
      <c r="E44" s="20" t="n">
        <v>7.12</v>
      </c>
    </row>
    <row r="45">
      <c r="A45" s="30" t="inlineStr">
        <is>
          <t>Iowa State</t>
        </is>
      </c>
      <c r="B45" s="20" t="n">
        <v>5.8</v>
      </c>
      <c r="C45" s="20" t="n">
        <v>25.4</v>
      </c>
      <c r="D45" s="20" t="n">
        <v>19.9</v>
      </c>
      <c r="E45" s="20" t="n">
        <v>6.45</v>
      </c>
    </row>
    <row r="46">
      <c r="A46" s="30" t="inlineStr">
        <is>
          <t>Jacksonville State</t>
        </is>
      </c>
      <c r="B46" s="20" t="n">
        <v>-3.2</v>
      </c>
      <c r="C46" s="20" t="n">
        <v>26.9</v>
      </c>
      <c r="D46" s="20" t="n">
        <v>29.7</v>
      </c>
      <c r="E46" s="20" t="n">
        <v>6.12</v>
      </c>
    </row>
    <row r="47">
      <c r="A47" s="30" t="inlineStr">
        <is>
          <t>James Madison</t>
        </is>
      </c>
      <c r="B47" s="20" t="n">
        <v>6.2</v>
      </c>
      <c r="C47" s="20" t="n">
        <v>28.8</v>
      </c>
      <c r="D47" s="20" t="n">
        <v>22.3</v>
      </c>
      <c r="E47" s="20" t="n">
        <v>7.01</v>
      </c>
    </row>
    <row r="48">
      <c r="A48" s="30" t="inlineStr">
        <is>
          <t>Kansas</t>
        </is>
      </c>
      <c r="B48" s="20" t="n">
        <v>3</v>
      </c>
      <c r="C48" s="20" t="n">
        <v>27.4</v>
      </c>
      <c r="D48" s="20" t="n">
        <v>24.8</v>
      </c>
      <c r="E48" s="20" t="n">
        <v>5.91</v>
      </c>
    </row>
    <row r="49">
      <c r="A49" s="30" t="inlineStr">
        <is>
          <t>Kansas State</t>
        </is>
      </c>
      <c r="B49" s="20" t="n">
        <v>14.4</v>
      </c>
      <c r="C49" s="20" t="n">
        <v>34.7</v>
      </c>
      <c r="D49" s="20" t="n">
        <v>20.6</v>
      </c>
      <c r="E49" s="20" t="n">
        <v>7.02</v>
      </c>
    </row>
    <row r="50">
      <c r="A50" s="30" t="inlineStr">
        <is>
          <t>Kennesaw State</t>
        </is>
      </c>
      <c r="B50" s="20" t="n">
        <v>-12.5</v>
      </c>
      <c r="C50" s="20" t="n">
        <v>19.9</v>
      </c>
      <c r="D50" s="20" t="n">
        <v>31.9</v>
      </c>
      <c r="E50" s="20" t="n">
        <v>5.63</v>
      </c>
    </row>
    <row r="51">
      <c r="A51" s="30" t="inlineStr">
        <is>
          <t>Kent State</t>
        </is>
      </c>
      <c r="B51" s="20" t="n">
        <v>-24.8</v>
      </c>
      <c r="C51" s="20" t="n">
        <v>13.7</v>
      </c>
      <c r="D51" s="20" t="n">
        <v>38</v>
      </c>
      <c r="E51" s="20" t="n">
        <v>4.35</v>
      </c>
    </row>
    <row r="52">
      <c r="A52" s="30" t="inlineStr">
        <is>
          <t>Kentucky</t>
        </is>
      </c>
      <c r="B52" s="20" t="n">
        <v>6.5</v>
      </c>
      <c r="C52" s="20" t="n">
        <v>28.2</v>
      </c>
      <c r="D52" s="20" t="n">
        <v>21.7</v>
      </c>
      <c r="E52" s="20" t="n">
        <v>6.27</v>
      </c>
    </row>
    <row r="53">
      <c r="A53" s="30" t="inlineStr">
        <is>
          <t>LSU</t>
        </is>
      </c>
      <c r="B53" s="20" t="n">
        <v>20.3</v>
      </c>
      <c r="C53" s="20" t="n">
        <v>33.3</v>
      </c>
      <c r="D53" s="20" t="n">
        <v>13.2</v>
      </c>
      <c r="E53" s="20" t="n">
        <v>6.03</v>
      </c>
    </row>
    <row r="54">
      <c r="A54" s="30" t="inlineStr">
        <is>
          <t>Liberty</t>
        </is>
      </c>
      <c r="B54" s="20" t="n">
        <v>-3</v>
      </c>
      <c r="C54" s="20" t="n">
        <v>26.1</v>
      </c>
      <c r="D54" s="20" t="n">
        <v>28.9</v>
      </c>
      <c r="E54" s="20" t="n">
        <v>5.95</v>
      </c>
    </row>
    <row r="55">
      <c r="A55" s="30" t="inlineStr">
        <is>
          <t>Louisiana</t>
        </is>
      </c>
      <c r="B55" s="20" t="n">
        <v>-7.2</v>
      </c>
      <c r="C55" s="20" t="n">
        <v>25.5</v>
      </c>
      <c r="D55" s="20" t="n">
        <v>32.3</v>
      </c>
      <c r="E55" s="20" t="n">
        <v>6.05</v>
      </c>
    </row>
    <row r="56">
      <c r="A56" s="30" t="inlineStr">
        <is>
          <t>Louisiana Tech</t>
        </is>
      </c>
      <c r="B56" s="20" t="n">
        <v>-8.199999999999999</v>
      </c>
      <c r="C56" s="20" t="n">
        <v>22.2</v>
      </c>
      <c r="D56" s="20" t="n">
        <v>30.4</v>
      </c>
      <c r="E56" s="20" t="n">
        <v>5.36</v>
      </c>
    </row>
    <row r="57">
      <c r="A57" s="30" t="inlineStr">
        <is>
          <t>Louisiana-Monroe</t>
        </is>
      </c>
      <c r="B57" s="20" t="n">
        <v>-28</v>
      </c>
      <c r="C57" s="20" t="n">
        <v>13.1</v>
      </c>
      <c r="D57" s="20" t="n">
        <v>40.5</v>
      </c>
      <c r="E57" s="20" t="n">
        <v>4.96</v>
      </c>
    </row>
    <row r="58">
      <c r="A58" s="30" t="inlineStr">
        <is>
          <t>Louisville</t>
        </is>
      </c>
      <c r="B58" s="20" t="n">
        <v>13.3</v>
      </c>
      <c r="C58" s="20" t="n">
        <v>34.5</v>
      </c>
      <c r="D58" s="20" t="n">
        <v>21.4</v>
      </c>
      <c r="E58" s="20" t="n">
        <v>7.97</v>
      </c>
    </row>
    <row r="59">
      <c r="A59" s="30" t="inlineStr">
        <is>
          <t>Marshall</t>
        </is>
      </c>
      <c r="B59" s="20" t="n">
        <v>-11</v>
      </c>
      <c r="C59" s="20" t="n">
        <v>25.7</v>
      </c>
      <c r="D59" s="20" t="n">
        <v>36.8</v>
      </c>
      <c r="E59" s="20" t="n">
        <v>4.95</v>
      </c>
    </row>
    <row r="60">
      <c r="A60" s="30" t="inlineStr">
        <is>
          <t>Maryland</t>
        </is>
      </c>
      <c r="B60" s="20" t="n">
        <v>7.9</v>
      </c>
      <c r="C60" s="20" t="n">
        <v>29.6</v>
      </c>
      <c r="D60" s="20" t="n">
        <v>21.9</v>
      </c>
      <c r="E60" s="20" t="n">
        <v>7.02</v>
      </c>
    </row>
    <row r="61">
      <c r="A61" s="30" t="inlineStr">
        <is>
          <t>Memphis</t>
        </is>
      </c>
      <c r="B61" s="20" t="n">
        <v>3.7</v>
      </c>
      <c r="C61" s="20" t="n">
        <v>33.3</v>
      </c>
      <c r="D61" s="20" t="n">
        <v>29.8</v>
      </c>
      <c r="E61" s="20" t="n">
        <v>8.130000000000001</v>
      </c>
    </row>
    <row r="62">
      <c r="A62" s="30" t="inlineStr">
        <is>
          <t>Miami</t>
        </is>
      </c>
      <c r="B62" s="20" t="n">
        <v>23.2</v>
      </c>
      <c r="C62" s="20" t="n">
        <v>36.8</v>
      </c>
      <c r="D62" s="20" t="n">
        <v>13.9</v>
      </c>
      <c r="E62" s="20" t="n">
        <v>8.57</v>
      </c>
    </row>
    <row r="63">
      <c r="A63" s="30" t="inlineStr">
        <is>
          <t>Miami (OH)</t>
        </is>
      </c>
      <c r="B63" s="20" t="n">
        <v>-6</v>
      </c>
      <c r="C63" s="20" t="n">
        <v>21</v>
      </c>
      <c r="D63" s="20" t="n">
        <v>27.4</v>
      </c>
      <c r="E63" s="20" t="n">
        <v>6.76</v>
      </c>
    </row>
    <row r="64">
      <c r="A64" s="30" t="inlineStr">
        <is>
          <t>Michigan</t>
        </is>
      </c>
      <c r="B64" s="20" t="n">
        <v>15.1</v>
      </c>
      <c r="C64" s="20" t="n">
        <v>30.9</v>
      </c>
      <c r="D64" s="20" t="n">
        <v>15.4</v>
      </c>
      <c r="E64" s="20" t="n">
        <v>5.51</v>
      </c>
    </row>
    <row r="65">
      <c r="A65" s="30" t="inlineStr">
        <is>
          <t>Michigan State</t>
        </is>
      </c>
      <c r="B65" s="20" t="n">
        <v>2.3</v>
      </c>
      <c r="C65" s="20" t="n">
        <v>27.1</v>
      </c>
      <c r="D65" s="20" t="n">
        <v>24.5</v>
      </c>
      <c r="E65" s="20" t="n">
        <v>5.21</v>
      </c>
    </row>
    <row r="66">
      <c r="A66" s="30" t="inlineStr">
        <is>
          <t>Middle Tennessee</t>
        </is>
      </c>
      <c r="B66" s="20" t="n">
        <v>-18.9</v>
      </c>
      <c r="C66" s="20" t="n">
        <v>17.2</v>
      </c>
      <c r="D66" s="20" t="n">
        <v>36.2</v>
      </c>
      <c r="E66" s="20" t="n">
        <v>5.86</v>
      </c>
    </row>
    <row r="67">
      <c r="A67" s="30" t="inlineStr">
        <is>
          <t>Minnesota</t>
        </is>
      </c>
      <c r="B67" s="20" t="n">
        <v>5.9</v>
      </c>
      <c r="C67" s="20" t="n">
        <v>26.5</v>
      </c>
      <c r="D67" s="20" t="n">
        <v>20.2</v>
      </c>
      <c r="E67" s="20" t="n">
        <v>5.97</v>
      </c>
    </row>
    <row r="68">
      <c r="A68" s="30" t="inlineStr">
        <is>
          <t>Mississippi State</t>
        </is>
      </c>
      <c r="B68" s="20" t="n">
        <v>12</v>
      </c>
      <c r="C68" s="20" t="n">
        <v>35.4</v>
      </c>
      <c r="D68" s="20" t="n">
        <v>23.9</v>
      </c>
      <c r="E68" s="20" t="n">
        <v>7.86</v>
      </c>
    </row>
    <row r="69">
      <c r="A69" s="30" t="inlineStr">
        <is>
          <t>Missouri</t>
        </is>
      </c>
      <c r="B69" s="20" t="n">
        <v>15</v>
      </c>
      <c r="C69" s="20" t="n">
        <v>31.7</v>
      </c>
      <c r="D69" s="20" t="n">
        <v>16.3</v>
      </c>
      <c r="E69" s="20" t="n">
        <v>6.43</v>
      </c>
    </row>
    <row r="70">
      <c r="A70" s="30" t="inlineStr">
        <is>
          <t>Missouri State</t>
        </is>
      </c>
      <c r="B70" s="20" t="n">
        <v>-17.4</v>
      </c>
      <c r="C70" s="20" t="n">
        <v>17.7</v>
      </c>
      <c r="D70" s="20" t="n">
        <v>34.6</v>
      </c>
      <c r="E70" s="20" t="n">
        <v>6.32</v>
      </c>
    </row>
    <row r="71">
      <c r="A71" s="30" t="inlineStr">
        <is>
          <t>NC State</t>
        </is>
      </c>
      <c r="B71" s="20" t="n">
        <v>5</v>
      </c>
      <c r="C71" s="20" t="n">
        <v>30.9</v>
      </c>
      <c r="D71" s="20" t="n">
        <v>25.6</v>
      </c>
      <c r="E71" s="20" t="n">
        <v>6.77</v>
      </c>
    </row>
    <row r="72">
      <c r="A72" s="30" t="inlineStr">
        <is>
          <t>Navy</t>
        </is>
      </c>
      <c r="B72" s="20" t="n">
        <v>-2.3</v>
      </c>
      <c r="C72" s="20" t="n">
        <v>26.7</v>
      </c>
      <c r="D72" s="20" t="n">
        <v>29.1</v>
      </c>
      <c r="E72" s="20" t="n">
        <v>6.67</v>
      </c>
    </row>
    <row r="73">
      <c r="A73" s="30" t="inlineStr">
        <is>
          <t>Nebraska</t>
        </is>
      </c>
      <c r="B73" s="20" t="n">
        <v>14.5</v>
      </c>
      <c r="C73" s="20" t="n">
        <v>33.5</v>
      </c>
      <c r="D73" s="20" t="n">
        <v>19</v>
      </c>
      <c r="E73" s="20" t="n">
        <v>7.4</v>
      </c>
    </row>
    <row r="74">
      <c r="A74" s="30" t="inlineStr">
        <is>
          <t>Nevada</t>
        </is>
      </c>
      <c r="B74" s="20" t="n">
        <v>-9.6</v>
      </c>
      <c r="C74" s="20" t="n">
        <v>18.7</v>
      </c>
      <c r="D74" s="20" t="n">
        <v>28.7</v>
      </c>
      <c r="E74" s="20" t="n">
        <v>5.84</v>
      </c>
    </row>
    <row r="75">
      <c r="A75" s="30" t="inlineStr">
        <is>
          <t>New Mexico</t>
        </is>
      </c>
      <c r="B75" s="20" t="n">
        <v>4.8</v>
      </c>
      <c r="C75" s="20" t="n">
        <v>26.7</v>
      </c>
      <c r="D75" s="20" t="n">
        <v>22.4</v>
      </c>
      <c r="E75" s="20" t="n">
        <v>5.15</v>
      </c>
    </row>
    <row r="76">
      <c r="A76" s="30" t="inlineStr">
        <is>
          <t>New Mexico State</t>
        </is>
      </c>
      <c r="B76" s="20" t="n">
        <v>-15.7</v>
      </c>
      <c r="C76" s="20" t="n">
        <v>17.9</v>
      </c>
      <c r="D76" s="20" t="n">
        <v>33.5</v>
      </c>
      <c r="E76" s="20" t="n">
        <v>6.24</v>
      </c>
    </row>
    <row r="77">
      <c r="A77" s="30" t="inlineStr">
        <is>
          <t>North Carolina</t>
        </is>
      </c>
      <c r="B77" s="20" t="n">
        <v>4.5</v>
      </c>
      <c r="C77" s="20" t="n">
        <v>25</v>
      </c>
      <c r="D77" s="20" t="n">
        <v>20.8</v>
      </c>
      <c r="E77" s="20" t="n">
        <v>6.13</v>
      </c>
    </row>
    <row r="78">
      <c r="A78" s="30" t="inlineStr">
        <is>
          <t>North Texas</t>
        </is>
      </c>
      <c r="B78" s="20" t="n">
        <v>-9.199999999999999</v>
      </c>
      <c r="C78" s="20" t="n">
        <v>26.2</v>
      </c>
      <c r="D78" s="20" t="n">
        <v>35.2</v>
      </c>
      <c r="E78" s="20" t="n">
        <v>6.23</v>
      </c>
    </row>
    <row r="79">
      <c r="A79" s="30" t="inlineStr">
        <is>
          <t>Northern Illinois</t>
        </is>
      </c>
      <c r="B79" s="20" t="n">
        <v>-19.7</v>
      </c>
      <c r="C79" s="20" t="n">
        <v>14.3</v>
      </c>
      <c r="D79" s="20" t="n">
        <v>33.8</v>
      </c>
      <c r="E79" s="20" t="n">
        <v>4.09</v>
      </c>
    </row>
    <row r="80">
      <c r="A80" s="30" t="inlineStr">
        <is>
          <t>Northwestern</t>
        </is>
      </c>
      <c r="B80" s="20" t="n">
        <v>7.7</v>
      </c>
      <c r="C80" s="20" t="n">
        <v>27.1</v>
      </c>
      <c r="D80" s="20" t="n">
        <v>19.9</v>
      </c>
      <c r="E80" s="20" t="n">
        <v>7.19</v>
      </c>
    </row>
    <row r="81">
      <c r="A81" s="30" t="inlineStr">
        <is>
          <t>Notre Dame</t>
        </is>
      </c>
      <c r="B81" s="20" t="n">
        <v>26.7</v>
      </c>
      <c r="C81" s="20" t="n">
        <v>40.2</v>
      </c>
      <c r="D81" s="20" t="n">
        <v>13.7</v>
      </c>
      <c r="E81" s="20" t="n">
        <v>6.34</v>
      </c>
    </row>
    <row r="82">
      <c r="A82" s="30" t="inlineStr">
        <is>
          <t>Ohio</t>
        </is>
      </c>
      <c r="B82" s="20" t="n">
        <v>-12.7</v>
      </c>
      <c r="C82" s="20" t="n">
        <v>16.9</v>
      </c>
      <c r="D82" s="20" t="n">
        <v>29.1</v>
      </c>
      <c r="E82" s="20" t="n">
        <v>5.01</v>
      </c>
    </row>
    <row r="83">
      <c r="A83" s="30" t="inlineStr">
        <is>
          <t>Ohio State</t>
        </is>
      </c>
      <c r="B83" s="20" t="n">
        <v>29.7</v>
      </c>
      <c r="C83" s="20" t="n">
        <v>40.1</v>
      </c>
      <c r="D83" s="20" t="n">
        <v>10.5</v>
      </c>
      <c r="E83" s="20" t="n">
        <v>7.81</v>
      </c>
    </row>
    <row r="84">
      <c r="A84" s="30" t="inlineStr">
        <is>
          <t>Oklahoma</t>
        </is>
      </c>
      <c r="B84" s="20" t="n">
        <v>17.6</v>
      </c>
      <c r="C84" s="20" t="n">
        <v>30.1</v>
      </c>
      <c r="D84" s="20" t="n">
        <v>12.8</v>
      </c>
      <c r="E84" s="20" t="n">
        <v>5.56</v>
      </c>
    </row>
    <row r="85">
      <c r="A85" s="30" t="inlineStr">
        <is>
          <t>Oklahoma State</t>
        </is>
      </c>
      <c r="B85" s="20" t="n">
        <v>8.699999999999999</v>
      </c>
      <c r="C85" s="20" t="n">
        <v>30.5</v>
      </c>
      <c r="D85" s="20" t="n">
        <v>22.3</v>
      </c>
      <c r="E85" s="20" t="n">
        <v>6.55</v>
      </c>
    </row>
    <row r="86">
      <c r="A86" s="30" t="inlineStr">
        <is>
          <t>Old Dominion</t>
        </is>
      </c>
      <c r="B86" s="20" t="n">
        <v>-7</v>
      </c>
      <c r="C86" s="20" t="n">
        <v>19.1</v>
      </c>
      <c r="D86" s="20" t="n">
        <v>25.6</v>
      </c>
      <c r="E86" s="20" t="n">
        <v>5.28</v>
      </c>
    </row>
    <row r="87">
      <c r="A87" s="30" t="inlineStr">
        <is>
          <t>Ole Miss</t>
        </is>
      </c>
      <c r="B87" s="20" t="n">
        <v>15.6</v>
      </c>
      <c r="C87" s="20" t="n">
        <v>36.3</v>
      </c>
      <c r="D87" s="20" t="n">
        <v>21.3</v>
      </c>
      <c r="E87" s="20" t="n">
        <v>6.38</v>
      </c>
    </row>
    <row r="88">
      <c r="A88" s="30" t="inlineStr">
        <is>
          <t>Oregon</t>
        </is>
      </c>
      <c r="B88" s="20" t="n">
        <v>24.4</v>
      </c>
      <c r="C88" s="20" t="n">
        <v>39.7</v>
      </c>
      <c r="D88" s="20" t="n">
        <v>15.5</v>
      </c>
      <c r="E88" s="20" t="n">
        <v>6.96</v>
      </c>
    </row>
    <row r="89">
      <c r="A89" s="30" t="inlineStr">
        <is>
          <t>Oregon State</t>
        </is>
      </c>
      <c r="B89" s="20" t="n">
        <v>-2.5</v>
      </c>
      <c r="C89" s="20" t="n">
        <v>23.8</v>
      </c>
      <c r="D89" s="20" t="n">
        <v>25.6</v>
      </c>
      <c r="E89" s="20" t="n">
        <v>6.53</v>
      </c>
    </row>
    <row r="90">
      <c r="A90" s="30" t="inlineStr">
        <is>
          <t>Penn State</t>
        </is>
      </c>
      <c r="B90" s="20" t="n">
        <v>19.1</v>
      </c>
      <c r="C90" s="20" t="n">
        <v>35.2</v>
      </c>
      <c r="D90" s="20" t="n">
        <v>16.6</v>
      </c>
      <c r="E90" s="20" t="n">
        <v>7.38</v>
      </c>
    </row>
    <row r="91">
      <c r="A91" s="30" t="inlineStr">
        <is>
          <t>Pittsburgh</t>
        </is>
      </c>
      <c r="B91" s="20" t="n">
        <v>10.4</v>
      </c>
      <c r="C91" s="20" t="n">
        <v>31</v>
      </c>
      <c r="D91" s="20" t="n">
        <v>20.7</v>
      </c>
      <c r="E91" s="20" t="n">
        <v>6.42</v>
      </c>
    </row>
    <row r="92">
      <c r="A92" s="30" t="inlineStr">
        <is>
          <t>Purdue</t>
        </is>
      </c>
      <c r="B92" s="20" t="n">
        <v>-2.1</v>
      </c>
      <c r="C92" s="20" t="n">
        <v>27.4</v>
      </c>
      <c r="D92" s="20" t="n">
        <v>30</v>
      </c>
      <c r="E92" s="20" t="n">
        <v>6.82</v>
      </c>
    </row>
    <row r="93">
      <c r="A93" s="30" t="inlineStr">
        <is>
          <t>Rice</t>
        </is>
      </c>
      <c r="B93" s="20" t="n">
        <v>-14.9</v>
      </c>
      <c r="C93" s="20" t="n">
        <v>16.9</v>
      </c>
      <c r="D93" s="20" t="n">
        <v>32.1</v>
      </c>
      <c r="E93" s="20" t="n">
        <v>5.06</v>
      </c>
    </row>
    <row r="94">
      <c r="A94" s="30" t="inlineStr">
        <is>
          <t>Rutgers</t>
        </is>
      </c>
      <c r="B94" s="20" t="n">
        <v>-2.4</v>
      </c>
      <c r="C94" s="20" t="n">
        <v>29.1</v>
      </c>
      <c r="D94" s="20" t="n">
        <v>31.6</v>
      </c>
      <c r="E94" s="20" t="n">
        <v>5.96</v>
      </c>
    </row>
    <row r="95">
      <c r="A95" s="30" t="inlineStr">
        <is>
          <t>SMU</t>
        </is>
      </c>
      <c r="B95" s="20" t="n">
        <v>12</v>
      </c>
      <c r="C95" s="20" t="n">
        <v>33.9</v>
      </c>
      <c r="D95" s="20" t="n">
        <v>21.5</v>
      </c>
      <c r="E95" s="20" t="n">
        <v>7.94</v>
      </c>
    </row>
    <row r="96">
      <c r="A96" s="30" t="inlineStr">
        <is>
          <t>Sam Houston</t>
        </is>
      </c>
      <c r="B96" s="20" t="n">
        <v>-16.3</v>
      </c>
      <c r="C96" s="20" t="n">
        <v>18.3</v>
      </c>
      <c r="D96" s="20" t="n">
        <v>34.2</v>
      </c>
      <c r="E96" s="20" t="n">
        <v>6.46</v>
      </c>
    </row>
    <row r="97">
      <c r="A97" s="30" t="inlineStr">
        <is>
          <t>San Diego State</t>
        </is>
      </c>
      <c r="B97" s="20" t="n">
        <v>-2.5</v>
      </c>
      <c r="C97" s="20" t="n">
        <v>22.4</v>
      </c>
      <c r="D97" s="20" t="n">
        <v>25.5</v>
      </c>
      <c r="E97" s="20" t="n">
        <v>5.02</v>
      </c>
    </row>
    <row r="98">
      <c r="A98" s="30" t="inlineStr">
        <is>
          <t>San Jose State</t>
        </is>
      </c>
      <c r="B98" s="20" t="n">
        <v>-13.9</v>
      </c>
      <c r="C98" s="20" t="n">
        <v>17.1</v>
      </c>
      <c r="D98" s="20" t="n">
        <v>30.8</v>
      </c>
      <c r="E98" s="20" t="n">
        <v>5.75</v>
      </c>
    </row>
    <row r="99">
      <c r="A99" s="30" t="inlineStr">
        <is>
          <t>South Alabama</t>
        </is>
      </c>
      <c r="B99" s="20" t="n">
        <v>-12.1</v>
      </c>
      <c r="C99" s="20" t="n">
        <v>24.2</v>
      </c>
      <c r="D99" s="20" t="n">
        <v>35.7</v>
      </c>
      <c r="E99" s="20" t="n">
        <v>5.84</v>
      </c>
    </row>
    <row r="100">
      <c r="A100" s="30" t="inlineStr">
        <is>
          <t>South Carolina</t>
        </is>
      </c>
      <c r="B100" s="20" t="n">
        <v>13</v>
      </c>
      <c r="C100" s="20" t="n">
        <v>31.7</v>
      </c>
      <c r="D100" s="20" t="n">
        <v>19.3</v>
      </c>
      <c r="E100" s="20" t="n">
        <v>7.24</v>
      </c>
    </row>
    <row r="101">
      <c r="A101" s="30" t="inlineStr">
        <is>
          <t>South Florida</t>
        </is>
      </c>
      <c r="B101" s="20" t="n">
        <v>1.9</v>
      </c>
      <c r="C101" s="20" t="n">
        <v>30.1</v>
      </c>
      <c r="D101" s="20" t="n">
        <v>28.1</v>
      </c>
      <c r="E101" s="20" t="n">
        <v>6.71</v>
      </c>
    </row>
    <row r="102">
      <c r="A102" s="30" t="inlineStr">
        <is>
          <t>Southern Miss</t>
        </is>
      </c>
      <c r="B102" s="20" t="n">
        <v>-19.1</v>
      </c>
      <c r="C102" s="20" t="n">
        <v>19.1</v>
      </c>
      <c r="D102" s="20" t="n">
        <v>37.8</v>
      </c>
      <c r="E102" s="20" t="n">
        <v>5.3</v>
      </c>
    </row>
    <row r="103">
      <c r="A103" s="30" t="inlineStr">
        <is>
          <t>Stanford</t>
        </is>
      </c>
      <c r="B103" s="20" t="n">
        <v>-7.4</v>
      </c>
      <c r="C103" s="20" t="n">
        <v>20.8</v>
      </c>
      <c r="D103" s="20" t="n">
        <v>27.8</v>
      </c>
      <c r="E103" s="20" t="n">
        <v>5.25</v>
      </c>
    </row>
    <row r="104">
      <c r="A104" s="30" t="inlineStr">
        <is>
          <t>Syracuse</t>
        </is>
      </c>
      <c r="B104" s="20" t="n">
        <v>-0.2</v>
      </c>
      <c r="C104" s="20" t="n">
        <v>23.4</v>
      </c>
      <c r="D104" s="20" t="n">
        <v>23.8</v>
      </c>
      <c r="E104" s="20" t="n">
        <v>5.56</v>
      </c>
    </row>
    <row r="105">
      <c r="A105" s="30" t="inlineStr">
        <is>
          <t>TCU</t>
        </is>
      </c>
      <c r="B105" s="20" t="n">
        <v>11.2</v>
      </c>
      <c r="C105" s="20" t="n">
        <v>31.4</v>
      </c>
      <c r="D105" s="20" t="n">
        <v>20.1</v>
      </c>
      <c r="E105" s="20" t="n">
        <v>6.85</v>
      </c>
    </row>
    <row r="106">
      <c r="A106" s="30" t="inlineStr">
        <is>
          <t>Temple</t>
        </is>
      </c>
      <c r="B106" s="20" t="n">
        <v>-6.5</v>
      </c>
      <c r="C106" s="20" t="n">
        <v>26.6</v>
      </c>
      <c r="D106" s="20" t="n">
        <v>33.5</v>
      </c>
      <c r="E106" s="20" t="n">
        <v>5.73</v>
      </c>
    </row>
    <row r="107">
      <c r="A107" s="30" t="inlineStr">
        <is>
          <t>Tennessee</t>
        </is>
      </c>
      <c r="B107" s="20" t="n">
        <v>20.2</v>
      </c>
      <c r="C107" s="20" t="n">
        <v>40.6</v>
      </c>
      <c r="D107" s="20" t="n">
        <v>20.7</v>
      </c>
      <c r="E107" s="20" t="n">
        <v>7.4</v>
      </c>
    </row>
    <row r="108">
      <c r="A108" s="30" t="inlineStr">
        <is>
          <t>Texas</t>
        </is>
      </c>
      <c r="B108" s="20" t="n">
        <v>24.1</v>
      </c>
      <c r="C108" s="20" t="n">
        <v>37.9</v>
      </c>
      <c r="D108" s="20" t="n">
        <v>14.2</v>
      </c>
      <c r="E108" s="20" t="n">
        <v>5.42</v>
      </c>
    </row>
    <row r="109">
      <c r="A109" s="30" t="inlineStr">
        <is>
          <t>Texas A&amp;M</t>
        </is>
      </c>
      <c r="B109" s="20" t="n">
        <v>18.3</v>
      </c>
      <c r="C109" s="20" t="n">
        <v>36.4</v>
      </c>
      <c r="D109" s="20" t="n">
        <v>17.9</v>
      </c>
      <c r="E109" s="20" t="n">
        <v>5.17</v>
      </c>
    </row>
    <row r="110">
      <c r="A110" s="30" t="inlineStr">
        <is>
          <t>Texas State</t>
        </is>
      </c>
      <c r="B110" s="20" t="n">
        <v>-5.9</v>
      </c>
      <c r="C110" s="20" t="n">
        <v>31.7</v>
      </c>
      <c r="D110" s="20" t="n">
        <v>37.7</v>
      </c>
      <c r="E110" s="20" t="n">
        <v>6.49</v>
      </c>
    </row>
    <row r="111">
      <c r="A111" s="30" t="inlineStr">
        <is>
          <t>Texas Tech</t>
        </is>
      </c>
      <c r="B111" s="20" t="n">
        <v>18.5</v>
      </c>
      <c r="C111" s="20" t="n">
        <v>35.6</v>
      </c>
      <c r="D111" s="20" t="n">
        <v>17.4</v>
      </c>
      <c r="E111" s="20" t="n">
        <v>6.03</v>
      </c>
    </row>
    <row r="112">
      <c r="A112" s="30" t="inlineStr">
        <is>
          <t>Toledo</t>
        </is>
      </c>
      <c r="B112" s="20" t="n">
        <v>-5.4</v>
      </c>
      <c r="C112" s="20" t="n">
        <v>21.9</v>
      </c>
      <c r="D112" s="20" t="n">
        <v>26.9</v>
      </c>
      <c r="E112" s="20" t="n">
        <v>7.14</v>
      </c>
    </row>
    <row r="113">
      <c r="A113" s="30" t="inlineStr">
        <is>
          <t>Troy</t>
        </is>
      </c>
      <c r="B113" s="20" t="n">
        <v>-6.2</v>
      </c>
      <c r="C113" s="20" t="n">
        <v>22.5</v>
      </c>
      <c r="D113" s="20" t="n">
        <v>28.8</v>
      </c>
      <c r="E113" s="20" t="n">
        <v>5.3</v>
      </c>
    </row>
    <row r="114">
      <c r="A114" s="30" t="inlineStr">
        <is>
          <t>Tulane</t>
        </is>
      </c>
      <c r="B114" s="20" t="n">
        <v>-5.6</v>
      </c>
      <c r="C114" s="20" t="n">
        <v>21.6</v>
      </c>
      <c r="D114" s="20" t="n">
        <v>27.6</v>
      </c>
      <c r="E114" s="20" t="n">
        <v>5.67</v>
      </c>
    </row>
    <row r="115">
      <c r="A115" s="30" t="inlineStr">
        <is>
          <t>Tulsa</t>
        </is>
      </c>
      <c r="B115" s="20" t="n">
        <v>-1.2</v>
      </c>
      <c r="C115" s="20" t="n">
        <v>25.2</v>
      </c>
      <c r="D115" s="20" t="n">
        <v>26.8</v>
      </c>
      <c r="E115" s="20" t="n">
        <v>5.89</v>
      </c>
    </row>
    <row r="116">
      <c r="A116" s="30" t="inlineStr">
        <is>
          <t>UAB</t>
        </is>
      </c>
      <c r="B116" s="20" t="n">
        <v>-17</v>
      </c>
      <c r="C116" s="20" t="n">
        <v>19.5</v>
      </c>
      <c r="D116" s="20" t="n">
        <v>36.1</v>
      </c>
      <c r="E116" s="20" t="n">
        <v>4.94</v>
      </c>
    </row>
    <row r="117">
      <c r="A117" s="30" t="inlineStr">
        <is>
          <t>UCF</t>
        </is>
      </c>
      <c r="B117" s="20" t="n">
        <v>5.5</v>
      </c>
      <c r="C117" s="20" t="n">
        <v>25.9</v>
      </c>
      <c r="D117" s="20" t="n">
        <v>20.4</v>
      </c>
      <c r="E117" s="20" t="n">
        <v>6.8</v>
      </c>
    </row>
    <row r="118">
      <c r="A118" s="30" t="inlineStr">
        <is>
          <t>UCLA</t>
        </is>
      </c>
      <c r="B118" s="20" t="n">
        <v>9</v>
      </c>
      <c r="C118" s="20" t="n">
        <v>32.6</v>
      </c>
      <c r="D118" s="20" t="n">
        <v>23.6</v>
      </c>
      <c r="E118" s="20" t="n">
        <v>7.36</v>
      </c>
    </row>
    <row r="119">
      <c r="A119" s="30" t="inlineStr">
        <is>
          <t>UConn</t>
        </is>
      </c>
      <c r="B119" s="20" t="n">
        <v>-5.2</v>
      </c>
      <c r="C119" s="20" t="n">
        <v>24.1</v>
      </c>
      <c r="D119" s="20" t="n">
        <v>29.8</v>
      </c>
      <c r="E119" s="20" t="n">
        <v>6.79</v>
      </c>
    </row>
    <row r="120">
      <c r="A120" s="30" t="inlineStr">
        <is>
          <t>UMass</t>
        </is>
      </c>
      <c r="B120" s="20" t="n">
        <v>-19.9</v>
      </c>
      <c r="C120" s="20" t="n">
        <v>14.9</v>
      </c>
      <c r="D120" s="20" t="n">
        <v>34.5</v>
      </c>
      <c r="E120" s="20" t="n">
        <v>6.55</v>
      </c>
    </row>
    <row r="121">
      <c r="A121" s="30" t="inlineStr">
        <is>
          <t>UNLV</t>
        </is>
      </c>
      <c r="B121" s="20" t="n">
        <v>-3.3</v>
      </c>
      <c r="C121" s="20" t="n">
        <v>26.5</v>
      </c>
      <c r="D121" s="20" t="n">
        <v>29.8</v>
      </c>
      <c r="E121" s="20" t="n">
        <v>5.31</v>
      </c>
    </row>
    <row r="122">
      <c r="A122" s="30" t="inlineStr">
        <is>
          <t>USC</t>
        </is>
      </c>
      <c r="B122" s="20" t="n">
        <v>21.6</v>
      </c>
      <c r="C122" s="20" t="n">
        <v>42.3</v>
      </c>
      <c r="D122" s="20" t="n">
        <v>20.7</v>
      </c>
      <c r="E122" s="20" t="n">
        <v>7.2</v>
      </c>
    </row>
    <row r="123">
      <c r="A123" s="30" t="inlineStr">
        <is>
          <t>UTEP</t>
        </is>
      </c>
      <c r="B123" s="20" t="n">
        <v>-19.7</v>
      </c>
      <c r="C123" s="20" t="n">
        <v>16.2</v>
      </c>
      <c r="D123" s="20" t="n">
        <v>35.5</v>
      </c>
      <c r="E123" s="20" t="n">
        <v>5.34</v>
      </c>
    </row>
    <row r="124">
      <c r="A124" s="30" t="inlineStr">
        <is>
          <t>UTSA</t>
        </is>
      </c>
      <c r="B124" s="20" t="n">
        <v>-1.4</v>
      </c>
      <c r="C124" s="20" t="n">
        <v>28.7</v>
      </c>
      <c r="D124" s="20" t="n">
        <v>30.2</v>
      </c>
      <c r="E124" s="20" t="n">
        <v>5.95</v>
      </c>
    </row>
    <row r="125">
      <c r="A125" s="30" t="inlineStr">
        <is>
          <t>Utah</t>
        </is>
      </c>
      <c r="B125" s="20" t="n">
        <v>17</v>
      </c>
      <c r="C125" s="20" t="n">
        <v>35.2</v>
      </c>
      <c r="D125" s="20" t="n">
        <v>18.2</v>
      </c>
      <c r="E125" s="20" t="n">
        <v>7.37</v>
      </c>
    </row>
    <row r="126">
      <c r="A126" s="30" t="inlineStr">
        <is>
          <t>Utah State</t>
        </is>
      </c>
      <c r="B126" s="20" t="n">
        <v>-9.300000000000001</v>
      </c>
      <c r="C126" s="20" t="n">
        <v>20.8</v>
      </c>
      <c r="D126" s="20" t="n">
        <v>29.7</v>
      </c>
      <c r="E126" s="20" t="n">
        <v>4.33</v>
      </c>
    </row>
    <row r="127">
      <c r="A127" s="30" t="inlineStr">
        <is>
          <t>Vanderbilt</t>
        </is>
      </c>
      <c r="B127" s="20" t="n">
        <v>9.699999999999999</v>
      </c>
      <c r="C127" s="20" t="n">
        <v>33.2</v>
      </c>
      <c r="D127" s="20" t="n">
        <v>24</v>
      </c>
      <c r="E127" s="20" t="n">
        <v>6.02</v>
      </c>
    </row>
    <row r="128">
      <c r="A128" s="30" t="inlineStr">
        <is>
          <t>Virginia</t>
        </is>
      </c>
      <c r="B128" s="20" t="n">
        <v>10.5</v>
      </c>
      <c r="C128" s="20" t="n">
        <v>29.3</v>
      </c>
      <c r="D128" s="20" t="n">
        <v>18.9</v>
      </c>
      <c r="E128" s="20" t="n">
        <v>6.17</v>
      </c>
    </row>
    <row r="129">
      <c r="A129" s="30" t="inlineStr">
        <is>
          <t>Virginia Tech</t>
        </is>
      </c>
      <c r="B129" s="20" t="n">
        <v>12.4</v>
      </c>
      <c r="C129" s="20" t="n">
        <v>33.8</v>
      </c>
      <c r="D129" s="20" t="n">
        <v>21.2</v>
      </c>
      <c r="E129" s="20" t="n">
        <v>6.35</v>
      </c>
    </row>
    <row r="130">
      <c r="A130" s="30" t="inlineStr">
        <is>
          <t>Wake Forest</t>
        </is>
      </c>
      <c r="B130" s="20" t="n">
        <v>3.6</v>
      </c>
      <c r="C130" s="20" t="n">
        <v>26.4</v>
      </c>
      <c r="D130" s="20" t="n">
        <v>22.8</v>
      </c>
      <c r="E130" s="20" t="n">
        <v>6.59</v>
      </c>
    </row>
    <row r="131">
      <c r="A131" s="30" t="inlineStr">
        <is>
          <t>Washington</t>
        </is>
      </c>
      <c r="B131" s="20" t="n">
        <v>12.8</v>
      </c>
      <c r="C131" s="20" t="n">
        <v>30.7</v>
      </c>
      <c r="D131" s="20" t="n">
        <v>17.7</v>
      </c>
      <c r="E131" s="20" t="n">
        <v>6.52</v>
      </c>
    </row>
    <row r="132">
      <c r="A132" s="30" t="inlineStr">
        <is>
          <t>Washington State</t>
        </is>
      </c>
      <c r="B132" s="20" t="n">
        <v>-5.6</v>
      </c>
      <c r="C132" s="20" t="n">
        <v>19.8</v>
      </c>
      <c r="D132" s="20" t="n">
        <v>25.3</v>
      </c>
      <c r="E132" s="20" t="n">
        <v>5.48</v>
      </c>
    </row>
    <row r="133">
      <c r="A133" s="30" t="inlineStr">
        <is>
          <t>West Virginia</t>
        </is>
      </c>
      <c r="B133" s="20" t="n">
        <v>3.8</v>
      </c>
      <c r="C133" s="20" t="n">
        <v>29.2</v>
      </c>
      <c r="D133" s="20" t="n">
        <v>25.5</v>
      </c>
      <c r="E133" s="20" t="n">
        <v>6.67</v>
      </c>
    </row>
    <row r="134">
      <c r="A134" s="30" t="inlineStr">
        <is>
          <t>Western Kentucky</t>
        </is>
      </c>
      <c r="B134" s="20" t="n">
        <v>-16.5</v>
      </c>
      <c r="C134" s="20" t="n">
        <v>20.2</v>
      </c>
      <c r="D134" s="20" t="n">
        <v>37.1</v>
      </c>
      <c r="E134" s="20" t="n">
        <v>3.59</v>
      </c>
    </row>
    <row r="135">
      <c r="A135" s="30" t="inlineStr">
        <is>
          <t>Western Michigan</t>
        </is>
      </c>
      <c r="B135" s="20" t="n">
        <v>-2.6</v>
      </c>
      <c r="C135" s="20" t="n">
        <v>21.2</v>
      </c>
      <c r="D135" s="20" t="n">
        <v>23.6</v>
      </c>
      <c r="E135" s="20" t="n">
        <v>5.18</v>
      </c>
    </row>
    <row r="136">
      <c r="A136" s="30" t="inlineStr">
        <is>
          <t>Wisconsin</t>
        </is>
      </c>
      <c r="B136" s="20" t="n">
        <v>5.1</v>
      </c>
      <c r="C136" s="20" t="n">
        <v>23.4</v>
      </c>
      <c r="D136" s="20" t="n">
        <v>18.2</v>
      </c>
      <c r="E136" s="20" t="n">
        <v>6.6</v>
      </c>
    </row>
    <row r="137">
      <c r="A137" s="30" t="inlineStr">
        <is>
          <t>Wyoming</t>
        </is>
      </c>
      <c r="B137" s="20" t="n">
        <v>-15</v>
      </c>
      <c r="C137" s="20" t="n">
        <v>13.4</v>
      </c>
      <c r="D137" s="20" t="n">
        <v>28</v>
      </c>
      <c r="E137" s="20" t="n">
        <v>5.34</v>
      </c>
    </row>
    <row r="138">
      <c r="A138" s="30" t="inlineStr">
        <is>
          <t>North Dakota State</t>
        </is>
      </c>
      <c r="B138" s="20" t="n">
        <v>10.6</v>
      </c>
      <c r="C138" s="20" t="n">
        <v>30</v>
      </c>
      <c r="D138" s="20" t="n">
        <v>19.5</v>
      </c>
      <c r="E138" s="20" t="n">
        <v>5.81</v>
      </c>
    </row>
    <row r="139">
      <c r="A139" s="30" t="inlineStr">
        <is>
          <t>Sacramento State</t>
        </is>
      </c>
      <c r="B139" s="20" t="n">
        <v>-20.9</v>
      </c>
      <c r="C139" s="20" t="n">
        <v>13.8</v>
      </c>
      <c r="D139" s="20" t="n">
        <v>34.6</v>
      </c>
      <c r="E139" s="20" t="n">
        <v>4.95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6" customWidth="1" min="10" max="10"/>
  </cols>
  <sheetData>
    <row r="1">
      <c r="A1" s="18" t="inlineStr">
        <is>
          <t>Team</t>
        </is>
      </c>
      <c r="B1" s="18" t="inlineStr">
        <is>
          <t>Conference</t>
        </is>
      </c>
      <c r="C1" s="18" t="inlineStr">
        <is>
          <t>Talent Composite</t>
        </is>
      </c>
      <c r="D1" s="18" t="inlineStr">
        <is>
          <t>Recent Form (4wk)</t>
        </is>
      </c>
      <c r="E1" s="18" t="inlineStr">
        <is>
          <t>Success Rate</t>
        </is>
      </c>
      <c r="F1" s="18" t="inlineStr">
        <is>
          <t>Explosiveness</t>
        </is>
      </c>
      <c r="G1" s="18" t="inlineStr">
        <is>
          <t>Offense PPA</t>
        </is>
      </c>
      <c r="H1" s="18" t="inlineStr">
        <is>
          <t>Defense PPA</t>
        </is>
      </c>
      <c r="I1" s="18" t="inlineStr">
        <is>
          <t>Def Havoc</t>
        </is>
      </c>
      <c r="J1" s="18" t="inlineStr">
        <is>
          <t>Off Havoc Allowed</t>
        </is>
      </c>
    </row>
    <row r="2">
      <c r="A2" s="30" t="inlineStr">
        <is>
          <t>Air Force</t>
        </is>
      </c>
      <c r="B2" s="26" t="inlineStr">
        <is>
          <t>Mountain West</t>
        </is>
      </c>
      <c r="C2" s="34" t="n">
        <v>272.35</v>
      </c>
      <c r="D2" s="34" t="n">
        <v>14</v>
      </c>
      <c r="E2" s="53" t="n">
        <v>0.5238</v>
      </c>
      <c r="F2" s="53" t="n">
        <v>0.9837</v>
      </c>
      <c r="G2" s="53" t="n">
        <v>0.32</v>
      </c>
      <c r="H2" s="53" t="n">
        <v>-0.08</v>
      </c>
      <c r="I2" s="55" t="n">
        <v>0.142</v>
      </c>
      <c r="J2" s="55" t="n">
        <v>0.054</v>
      </c>
    </row>
    <row r="3">
      <c r="A3" s="30" t="inlineStr">
        <is>
          <t>Akron</t>
        </is>
      </c>
      <c r="B3" s="26" t="inlineStr">
        <is>
          <t>MAC</t>
        </is>
      </c>
      <c r="C3" s="34" t="n">
        <v>546.84</v>
      </c>
      <c r="D3" s="34" t="n">
        <v>-7</v>
      </c>
      <c r="E3" s="53" t="n">
        <v>0.4627</v>
      </c>
      <c r="F3" s="53" t="n">
        <v>0.9643</v>
      </c>
      <c r="G3" s="53" t="n">
        <v>0.08</v>
      </c>
      <c r="H3" s="53" t="n">
        <v>0.18</v>
      </c>
      <c r="I3" s="55" t="n">
        <v>0.175</v>
      </c>
      <c r="J3" s="55" t="n">
        <v>0.199</v>
      </c>
    </row>
    <row r="4">
      <c r="A4" s="30" t="inlineStr">
        <is>
          <t>Alabama</t>
        </is>
      </c>
      <c r="B4" s="26" t="inlineStr">
        <is>
          <t>SEC</t>
        </is>
      </c>
      <c r="C4" s="34" t="n">
        <v>973.53</v>
      </c>
      <c r="D4" s="34" t="n">
        <v>26.7</v>
      </c>
      <c r="E4" s="53" t="n">
        <v>0.5</v>
      </c>
      <c r="F4" s="53" t="n">
        <v>1.2116</v>
      </c>
      <c r="G4" s="53" t="n">
        <v>0.28</v>
      </c>
      <c r="H4" s="53" t="n">
        <v>-0.11</v>
      </c>
      <c r="I4" s="55" t="n">
        <v>0.218</v>
      </c>
      <c r="J4" s="55" t="n">
        <v>0.157</v>
      </c>
    </row>
    <row r="5">
      <c r="A5" s="30" t="inlineStr">
        <is>
          <t>Appalachian State</t>
        </is>
      </c>
      <c r="B5" s="26" t="inlineStr">
        <is>
          <t>Sun Belt</t>
        </is>
      </c>
      <c r="C5" s="34" t="n">
        <v>621.61</v>
      </c>
      <c r="D5" s="34" t="n">
        <v>20</v>
      </c>
      <c r="E5" s="53" t="n">
        <v>0.48</v>
      </c>
      <c r="F5" s="53" t="n">
        <v>1.3106</v>
      </c>
      <c r="G5" s="53" t="n">
        <v>0.28</v>
      </c>
      <c r="H5" s="53" t="n">
        <v>0</v>
      </c>
      <c r="I5" s="55" t="n">
        <v>0.187</v>
      </c>
      <c r="J5" s="55" t="n">
        <v>0.116</v>
      </c>
    </row>
    <row r="6">
      <c r="A6" s="30" t="inlineStr">
        <is>
          <t>Arizona</t>
        </is>
      </c>
      <c r="B6" s="26" t="inlineStr">
        <is>
          <t>Big 12</t>
        </is>
      </c>
      <c r="C6" s="34" t="n">
        <v>699.59</v>
      </c>
      <c r="D6" s="34" t="n">
        <v>14</v>
      </c>
      <c r="E6" s="53" t="n">
        <v>0.5196</v>
      </c>
      <c r="F6" s="53" t="n">
        <v>1.1196</v>
      </c>
      <c r="G6" s="53" t="n">
        <v>0.23</v>
      </c>
      <c r="H6" s="53" t="n">
        <v>0.04</v>
      </c>
      <c r="I6" s="55" t="n">
        <v>0.156</v>
      </c>
      <c r="J6" s="55" t="n">
        <v>0.108</v>
      </c>
    </row>
    <row r="7">
      <c r="A7" s="30" t="inlineStr">
        <is>
          <t>Arizona State</t>
        </is>
      </c>
      <c r="B7" s="26" t="inlineStr">
        <is>
          <t>Big 12</t>
        </is>
      </c>
      <c r="C7" s="34" t="n">
        <v>722</v>
      </c>
      <c r="D7" s="34" t="n">
        <v>14</v>
      </c>
      <c r="E7" s="53" t="n">
        <v>0.4158</v>
      </c>
      <c r="F7" s="53" t="n">
        <v>1.3965</v>
      </c>
      <c r="G7" s="53" t="n">
        <v>0.06</v>
      </c>
      <c r="H7" s="53" t="n">
        <v>0.02</v>
      </c>
      <c r="I7" s="55" t="n">
        <v>0.159</v>
      </c>
      <c r="J7" s="55" t="n">
        <v>0.163</v>
      </c>
    </row>
    <row r="8">
      <c r="A8" s="30" t="inlineStr">
        <is>
          <t>Arkansas</t>
        </is>
      </c>
      <c r="B8" s="26" t="inlineStr">
        <is>
          <t>SEC</t>
        </is>
      </c>
      <c r="C8" s="34" t="n">
        <v>745.48</v>
      </c>
      <c r="D8" s="34" t="n">
        <v>-14.7</v>
      </c>
      <c r="E8" s="53" t="n">
        <v>0.4248</v>
      </c>
      <c r="F8" s="53" t="n">
        <v>1.1063</v>
      </c>
      <c r="G8" s="53" t="n">
        <v>0.04</v>
      </c>
      <c r="H8" s="53" t="n">
        <v>0.23</v>
      </c>
      <c r="I8" s="55" t="n">
        <v>0.132</v>
      </c>
      <c r="J8" s="55" t="n">
        <v>0.195</v>
      </c>
    </row>
    <row r="9">
      <c r="A9" s="30" t="inlineStr">
        <is>
          <t>Arkansas State</t>
        </is>
      </c>
      <c r="B9" s="26" t="inlineStr">
        <is>
          <t>Sun Belt</t>
        </is>
      </c>
      <c r="C9" s="34" t="n">
        <v>606.22</v>
      </c>
      <c r="D9" s="34" t="n">
        <v>1</v>
      </c>
      <c r="E9" s="53" t="n">
        <v>0.4885</v>
      </c>
      <c r="F9" s="53" t="n">
        <v>1.1593</v>
      </c>
      <c r="G9" s="53" t="n">
        <v>0.12</v>
      </c>
      <c r="H9" s="53" t="n">
        <v>0.19</v>
      </c>
      <c r="I9" s="55" t="n">
        <v>0.126</v>
      </c>
      <c r="J9" s="55" t="n">
        <v>0.138</v>
      </c>
    </row>
    <row r="10">
      <c r="A10" s="30" t="inlineStr">
        <is>
          <t>Army</t>
        </is>
      </c>
      <c r="B10" s="26" t="inlineStr">
        <is>
          <t>American</t>
        </is>
      </c>
      <c r="C10" s="34" t="n">
        <v>303.83</v>
      </c>
      <c r="D10" s="34" t="n">
        <v>26</v>
      </c>
      <c r="E10" s="53" t="n">
        <v>0.5881999999999999</v>
      </c>
      <c r="F10" s="53" t="n">
        <v>1.0231</v>
      </c>
      <c r="G10" s="53" t="n">
        <v>0.42</v>
      </c>
      <c r="H10" s="53" t="n">
        <v>0.11</v>
      </c>
      <c r="I10" s="55" t="n">
        <v>0.155</v>
      </c>
      <c r="J10" s="55" t="n">
        <v>0.051</v>
      </c>
    </row>
    <row r="11">
      <c r="A11" s="30" t="inlineStr">
        <is>
          <t>Auburn</t>
        </is>
      </c>
      <c r="B11" s="26" t="inlineStr">
        <is>
          <t>SEC</t>
        </is>
      </c>
      <c r="C11" s="34" t="n">
        <v>828.1900000000001</v>
      </c>
      <c r="D11" s="34" t="n">
        <v>10.3</v>
      </c>
      <c r="E11" s="53" t="n">
        <v>0.4493</v>
      </c>
      <c r="F11" s="53" t="n">
        <v>1.2562</v>
      </c>
      <c r="G11" s="53" t="n">
        <v>0.14</v>
      </c>
      <c r="H11" s="53" t="n">
        <v>0.04</v>
      </c>
      <c r="I11" s="55" t="n">
        <v>0.164</v>
      </c>
      <c r="J11" s="55" t="n">
        <v>0.163</v>
      </c>
    </row>
    <row r="12">
      <c r="A12" s="30" t="inlineStr">
        <is>
          <t>BYU</t>
        </is>
      </c>
      <c r="B12" s="26" t="inlineStr">
        <is>
          <t>Big 12</t>
        </is>
      </c>
      <c r="C12" s="34" t="n">
        <v>689.42</v>
      </c>
      <c r="D12" s="34" t="n">
        <v>28.3</v>
      </c>
      <c r="E12" s="53" t="n">
        <v>0.5989</v>
      </c>
      <c r="F12" s="53" t="n">
        <v>1.1574</v>
      </c>
      <c r="G12" s="53" t="n">
        <v>0.45</v>
      </c>
      <c r="H12" s="53" t="n">
        <v>-0.06</v>
      </c>
      <c r="I12" s="55" t="n">
        <v>0.171</v>
      </c>
      <c r="J12" s="55" t="n">
        <v>0.059</v>
      </c>
    </row>
    <row r="13">
      <c r="A13" s="30" t="inlineStr">
        <is>
          <t>Ball State</t>
        </is>
      </c>
      <c r="B13" s="26" t="inlineStr">
        <is>
          <t>MAC</t>
        </is>
      </c>
      <c r="C13" s="34" t="n">
        <v>563.88</v>
      </c>
      <c r="D13" s="34" t="n">
        <v>-21.7</v>
      </c>
      <c r="E13" s="53" t="n">
        <v>0.3579</v>
      </c>
      <c r="F13" s="53" t="n">
        <v>1.305</v>
      </c>
      <c r="G13" s="53" t="n">
        <v>0.04</v>
      </c>
      <c r="H13" s="53" t="n">
        <v>0.37</v>
      </c>
      <c r="I13" s="55" t="n">
        <v>0.129</v>
      </c>
      <c r="J13" s="55" t="n">
        <v>0.205</v>
      </c>
    </row>
    <row r="14">
      <c r="A14" s="30" t="inlineStr">
        <is>
          <t>Baylor</t>
        </is>
      </c>
      <c r="B14" s="26" t="inlineStr">
        <is>
          <t>Big 12</t>
        </is>
      </c>
      <c r="C14" s="34" t="n">
        <v>723.28</v>
      </c>
      <c r="D14" s="34" t="n">
        <v>19</v>
      </c>
      <c r="E14" s="53" t="n">
        <v>0.4157</v>
      </c>
      <c r="F14" s="53" t="n">
        <v>1.3032</v>
      </c>
      <c r="G14" s="53" t="n">
        <v>0.14</v>
      </c>
      <c r="H14" s="53" t="n">
        <v>-0.1</v>
      </c>
      <c r="I14" s="55" t="n">
        <v>0.202</v>
      </c>
      <c r="J14" s="55" t="n">
        <v>0.157</v>
      </c>
    </row>
    <row r="15">
      <c r="A15" s="30" t="inlineStr">
        <is>
          <t>Boise State</t>
        </is>
      </c>
      <c r="B15" s="26" t="inlineStr">
        <is>
          <t>Mountain West</t>
        </is>
      </c>
      <c r="C15" s="34" t="n">
        <v>641.17</v>
      </c>
      <c r="D15" s="34" t="n">
        <v>8.300000000000001</v>
      </c>
      <c r="E15" s="53" t="n">
        <v>0.4933</v>
      </c>
      <c r="F15" s="53" t="n">
        <v>1.1621</v>
      </c>
      <c r="G15" s="53" t="n">
        <v>0.28</v>
      </c>
      <c r="H15" s="53" t="n">
        <v>0.08</v>
      </c>
      <c r="I15" s="55" t="n">
        <v>0.21</v>
      </c>
      <c r="J15" s="55" t="n">
        <v>0.103</v>
      </c>
    </row>
    <row r="16">
      <c r="A16" s="30" t="inlineStr">
        <is>
          <t>Boston College</t>
        </is>
      </c>
      <c r="B16" s="26" t="inlineStr">
        <is>
          <t>ACC</t>
        </is>
      </c>
      <c r="C16" s="34" t="n">
        <v>660</v>
      </c>
      <c r="D16" s="34" t="n">
        <v>-2</v>
      </c>
      <c r="E16" s="53" t="n">
        <v>0.399</v>
      </c>
      <c r="F16" s="53" t="n">
        <v>1.1768</v>
      </c>
      <c r="G16" s="53" t="n">
        <v>-0.04</v>
      </c>
      <c r="H16" s="53" t="n">
        <v>0.03</v>
      </c>
      <c r="I16" s="55" t="n">
        <v>0.176</v>
      </c>
      <c r="J16" s="55" t="n">
        <v>0.162</v>
      </c>
    </row>
    <row r="17">
      <c r="A17" s="30" t="inlineStr">
        <is>
          <t>Bowling Green</t>
        </is>
      </c>
      <c r="B17" s="26" t="inlineStr">
        <is>
          <t>MAC</t>
        </is>
      </c>
      <c r="C17" s="34" t="n">
        <v>568.33</v>
      </c>
      <c r="D17" s="34" t="n">
        <v>-34.7</v>
      </c>
      <c r="E17" s="53" t="n">
        <v>0.3432</v>
      </c>
      <c r="F17" s="53" t="n">
        <v>0.982</v>
      </c>
      <c r="G17" s="53" t="n">
        <v>-0.08</v>
      </c>
      <c r="H17" s="53" t="n">
        <v>0.32</v>
      </c>
      <c r="I17" s="55" t="n">
        <v>0.08500000000000001</v>
      </c>
      <c r="J17" s="55" t="n">
        <v>0.183</v>
      </c>
    </row>
    <row r="18">
      <c r="A18" s="30" t="inlineStr">
        <is>
          <t>Buffalo</t>
        </is>
      </c>
      <c r="B18" s="26" t="inlineStr">
        <is>
          <t>MAC</t>
        </is>
      </c>
      <c r="C18" s="34" t="n">
        <v>549.3099999999999</v>
      </c>
      <c r="D18" s="34" t="n">
        <v>-17</v>
      </c>
      <c r="E18" s="53" t="n">
        <v>0.2884</v>
      </c>
      <c r="F18" s="53" t="n">
        <v>1.2954</v>
      </c>
      <c r="G18" s="53" t="n">
        <v>0.02</v>
      </c>
      <c r="H18" s="53" t="n">
        <v>0.14</v>
      </c>
      <c r="I18" s="55" t="n">
        <v>0.149</v>
      </c>
      <c r="J18" s="55" t="n">
        <v>0.177</v>
      </c>
    </row>
    <row r="19">
      <c r="A19" s="30" t="inlineStr">
        <is>
          <t>California</t>
        </is>
      </c>
      <c r="B19" s="26" t="inlineStr">
        <is>
          <t>ACC</t>
        </is>
      </c>
      <c r="C19" s="34" t="n">
        <v>751.92</v>
      </c>
      <c r="D19" s="34" t="n">
        <v>8</v>
      </c>
      <c r="E19" s="53" t="n">
        <v>0.4182</v>
      </c>
      <c r="F19" s="53" t="n">
        <v>1.2582</v>
      </c>
      <c r="G19" s="53" t="n">
        <v>0.09</v>
      </c>
      <c r="H19" s="53" t="n">
        <v>0</v>
      </c>
      <c r="I19" s="55" t="n">
        <v>0.134</v>
      </c>
      <c r="J19" s="55" t="n">
        <v>0.164</v>
      </c>
    </row>
    <row r="20">
      <c r="A20" s="30" t="inlineStr">
        <is>
          <t>Central Michigan</t>
        </is>
      </c>
      <c r="B20" s="26" t="inlineStr">
        <is>
          <t>MAC</t>
        </is>
      </c>
      <c r="C20" s="34" t="n">
        <v>540.01</v>
      </c>
      <c r="D20" s="34" t="n">
        <v>-4.7</v>
      </c>
      <c r="E20" s="53" t="n">
        <v>0.3785</v>
      </c>
      <c r="F20" s="53" t="n">
        <v>1.1424</v>
      </c>
      <c r="G20" s="53" t="n">
        <v>0.03</v>
      </c>
      <c r="H20" s="53" t="n">
        <v>0.08</v>
      </c>
      <c r="I20" s="55" t="n">
        <v>0.148</v>
      </c>
      <c r="J20" s="55" t="n">
        <v>0.141</v>
      </c>
    </row>
    <row r="21">
      <c r="A21" s="30" t="inlineStr">
        <is>
          <t>Charlotte</t>
        </is>
      </c>
      <c r="B21" s="26" t="inlineStr">
        <is>
          <t>American</t>
        </is>
      </c>
      <c r="C21" s="34" t="n">
        <v>576.77</v>
      </c>
      <c r="D21" s="34" t="n">
        <v>-13</v>
      </c>
      <c r="E21" s="53" t="n">
        <v>0.3838</v>
      </c>
      <c r="F21" s="53" t="n">
        <v>1.2472</v>
      </c>
      <c r="G21" s="53" t="n">
        <v>0.02</v>
      </c>
      <c r="H21" s="53" t="n">
        <v>0.25</v>
      </c>
      <c r="I21" s="55" t="n">
        <v>0.113</v>
      </c>
      <c r="J21" s="55" t="n">
        <v>0.141</v>
      </c>
    </row>
    <row r="22">
      <c r="A22" s="30" t="inlineStr">
        <is>
          <t>Cincinnati</t>
        </is>
      </c>
      <c r="B22" s="26" t="inlineStr">
        <is>
          <t>Big 12</t>
        </is>
      </c>
      <c r="C22" s="34" t="n">
        <v>634.28</v>
      </c>
      <c r="D22" s="34" t="n">
        <v>25</v>
      </c>
      <c r="E22" s="53" t="n">
        <v>0.516</v>
      </c>
      <c r="F22" s="53" t="n">
        <v>1.2264</v>
      </c>
      <c r="G22" s="53" t="n">
        <v>0.36</v>
      </c>
      <c r="H22" s="53" t="n">
        <v>0.05</v>
      </c>
      <c r="I22" s="55" t="n">
        <v>0.201</v>
      </c>
      <c r="J22" s="55" t="n">
        <v>0.096</v>
      </c>
    </row>
    <row r="23">
      <c r="A23" s="30" t="inlineStr">
        <is>
          <t>Clemson</t>
        </is>
      </c>
      <c r="B23" s="26" t="inlineStr">
        <is>
          <t>ACC</t>
        </is>
      </c>
      <c r="C23" s="34" t="n">
        <v>862.85</v>
      </c>
      <c r="D23" s="34" t="n">
        <v>-6</v>
      </c>
      <c r="E23" s="53" t="n">
        <v>0.3351</v>
      </c>
      <c r="F23" s="53" t="n">
        <v>1.1183</v>
      </c>
      <c r="G23" s="53" t="n">
        <v>-0.06</v>
      </c>
      <c r="H23" s="53" t="n">
        <v>0.1</v>
      </c>
      <c r="I23" s="55" t="n">
        <v>0.152</v>
      </c>
      <c r="J23" s="55" t="n">
        <v>0.211</v>
      </c>
    </row>
    <row r="24">
      <c r="A24" s="30" t="inlineStr">
        <is>
          <t>Coastal Carolina</t>
        </is>
      </c>
      <c r="B24" s="26" t="inlineStr">
        <is>
          <t>Sun Belt</t>
        </is>
      </c>
      <c r="C24" s="34" t="n">
        <v>573.96</v>
      </c>
      <c r="D24" s="34" t="n">
        <v>7.7</v>
      </c>
      <c r="E24" s="53" t="n">
        <v>0.4596</v>
      </c>
      <c r="F24" s="53" t="n">
        <v>1.3215</v>
      </c>
      <c r="G24" s="53" t="n">
        <v>0.23</v>
      </c>
      <c r="H24" s="53" t="n">
        <v>0.04</v>
      </c>
      <c r="I24" s="55" t="n">
        <v>0.157</v>
      </c>
      <c r="J24" s="55" t="n">
        <v>0.212</v>
      </c>
    </row>
    <row r="25">
      <c r="A25" s="30" t="inlineStr">
        <is>
          <t>Colorado</t>
        </is>
      </c>
      <c r="B25" s="26" t="inlineStr">
        <is>
          <t>Big 12</t>
        </is>
      </c>
      <c r="C25" s="34" t="n">
        <v>731.62</v>
      </c>
      <c r="D25" s="34" t="n">
        <v>-0.7</v>
      </c>
      <c r="E25" s="53" t="n">
        <v>0.4151</v>
      </c>
      <c r="F25" s="53" t="n">
        <v>1.2968</v>
      </c>
      <c r="G25" s="53" t="n">
        <v>0.14</v>
      </c>
      <c r="H25" s="53" t="n">
        <v>0.04</v>
      </c>
      <c r="I25" s="55" t="n">
        <v>0.201</v>
      </c>
      <c r="J25" s="55" t="n">
        <v>0.16</v>
      </c>
    </row>
    <row r="26">
      <c r="A26" s="30" t="inlineStr">
        <is>
          <t>Colorado State</t>
        </is>
      </c>
      <c r="B26" s="26" t="inlineStr">
        <is>
          <t>Mountain West</t>
        </is>
      </c>
      <c r="C26" s="34" t="n">
        <v>640.3099999999999</v>
      </c>
      <c r="D26" s="34" t="n">
        <v>12.7</v>
      </c>
      <c r="E26" s="53" t="n">
        <v>0.451</v>
      </c>
      <c r="F26" s="53" t="n">
        <v>1.4438</v>
      </c>
      <c r="G26" s="53" t="n">
        <v>0.26</v>
      </c>
      <c r="H26" s="53" t="n">
        <v>0.06</v>
      </c>
      <c r="I26" s="55" t="n">
        <v>0.211</v>
      </c>
      <c r="J26" s="55" t="n">
        <v>0.172</v>
      </c>
    </row>
    <row r="27">
      <c r="A27" s="30" t="inlineStr">
        <is>
          <t>Delaware</t>
        </is>
      </c>
      <c r="B27" s="26" t="inlineStr">
        <is>
          <t>C-USA</t>
        </is>
      </c>
      <c r="C27" s="34" t="n">
        <v>483.48</v>
      </c>
      <c r="D27" s="34" t="n">
        <v>11.3</v>
      </c>
      <c r="E27" s="53" t="n">
        <v>0.4195</v>
      </c>
      <c r="F27" s="53" t="n">
        <v>1.3337</v>
      </c>
      <c r="G27" s="53" t="n">
        <v>0.11</v>
      </c>
      <c r="H27" s="53" t="n">
        <v>-0.02</v>
      </c>
      <c r="I27" s="55" t="n">
        <v>0.208</v>
      </c>
      <c r="J27" s="55" t="n">
        <v>0.205</v>
      </c>
    </row>
    <row r="28">
      <c r="A28" s="30" t="inlineStr">
        <is>
          <t>Duke</t>
        </is>
      </c>
      <c r="B28" s="26" t="inlineStr">
        <is>
          <t>ACC</t>
        </is>
      </c>
      <c r="C28" s="34" t="n">
        <v>668.47</v>
      </c>
      <c r="D28" s="34" t="n">
        <v>15.3</v>
      </c>
      <c r="E28" s="53" t="n">
        <v>0.4058</v>
      </c>
      <c r="F28" s="53" t="n">
        <v>1.2899</v>
      </c>
      <c r="G28" s="53" t="n">
        <v>0.2</v>
      </c>
      <c r="H28" s="53" t="n">
        <v>-0.06</v>
      </c>
      <c r="I28" s="55" t="n">
        <v>0.162</v>
      </c>
      <c r="J28" s="55" t="n">
        <v>0.097</v>
      </c>
    </row>
    <row r="29">
      <c r="A29" s="30" t="inlineStr">
        <is>
          <t>East Carolina</t>
        </is>
      </c>
      <c r="B29" s="26" t="inlineStr">
        <is>
          <t>American</t>
        </is>
      </c>
      <c r="C29" s="34" t="n">
        <v>623.79</v>
      </c>
      <c r="D29" s="34" t="n">
        <v>-12.7</v>
      </c>
      <c r="E29" s="53" t="n">
        <v>0.3536</v>
      </c>
      <c r="F29" s="53" t="n">
        <v>1.1797</v>
      </c>
      <c r="G29" s="53" t="n">
        <v>-0.03</v>
      </c>
      <c r="H29" s="53" t="n">
        <v>0.07000000000000001</v>
      </c>
      <c r="I29" s="55" t="n">
        <v>0.147</v>
      </c>
      <c r="J29" s="55" t="n">
        <v>0.171</v>
      </c>
    </row>
    <row r="30">
      <c r="A30" s="30" t="inlineStr">
        <is>
          <t>Eastern Michigan</t>
        </is>
      </c>
      <c r="B30" s="26" t="inlineStr">
        <is>
          <t>MAC</t>
        </is>
      </c>
      <c r="C30" s="34" t="n">
        <v>580.64</v>
      </c>
      <c r="D30" s="34" t="n">
        <v>-16.8</v>
      </c>
      <c r="E30" s="53" t="n">
        <v>0.3516</v>
      </c>
      <c r="F30" s="53" t="n">
        <v>1.0942</v>
      </c>
      <c r="G30" s="53" t="n">
        <v>-0.1</v>
      </c>
      <c r="H30" s="53" t="n">
        <v>0.16</v>
      </c>
      <c r="I30" s="55" t="n">
        <v>0.173</v>
      </c>
      <c r="J30" s="55" t="n">
        <v>0.191</v>
      </c>
    </row>
    <row r="31">
      <c r="A31" s="30" t="inlineStr">
        <is>
          <t>Florida</t>
        </is>
      </c>
      <c r="B31" s="26" t="inlineStr">
        <is>
          <t>SEC</t>
        </is>
      </c>
      <c r="C31" s="34" t="n">
        <v>891.0700000000001</v>
      </c>
      <c r="D31" s="34" t="n">
        <v>33</v>
      </c>
      <c r="E31" s="53" t="n">
        <v>0.4856</v>
      </c>
      <c r="F31" s="53" t="n">
        <v>1.4321</v>
      </c>
      <c r="G31" s="53" t="n">
        <v>0.43</v>
      </c>
      <c r="H31" s="53" t="n">
        <v>-0.08</v>
      </c>
      <c r="I31" s="55" t="n">
        <v>0.217</v>
      </c>
      <c r="J31" s="55" t="n">
        <v>0.111</v>
      </c>
    </row>
    <row r="32">
      <c r="A32" s="30" t="inlineStr">
        <is>
          <t>Florida Atlantic</t>
        </is>
      </c>
      <c r="B32" s="26" t="inlineStr">
        <is>
          <t>American</t>
        </is>
      </c>
      <c r="C32" s="34" t="n">
        <v>593.36</v>
      </c>
      <c r="D32" s="34" t="n">
        <v>-10.3</v>
      </c>
      <c r="E32" s="53" t="n">
        <v>0.4142</v>
      </c>
      <c r="F32" s="53" t="n">
        <v>1.1237</v>
      </c>
      <c r="G32" s="53" t="n">
        <v>0.08</v>
      </c>
      <c r="H32" s="53" t="n">
        <v>0.22</v>
      </c>
      <c r="I32" s="55" t="n">
        <v>0.163</v>
      </c>
      <c r="J32" s="55" t="n">
        <v>0.167</v>
      </c>
    </row>
    <row r="33">
      <c r="A33" s="30" t="inlineStr">
        <is>
          <t>Florida International</t>
        </is>
      </c>
      <c r="B33" s="26" t="inlineStr">
        <is>
          <t>C-USA</t>
        </is>
      </c>
      <c r="C33" s="34" t="n">
        <v>607.5599999999999</v>
      </c>
      <c r="D33" s="34" t="n">
        <v>-1</v>
      </c>
      <c r="E33" s="53" t="n">
        <v>0.3803</v>
      </c>
      <c r="F33" s="53" t="n">
        <v>1.2306</v>
      </c>
      <c r="G33" s="53" t="n">
        <v>-0.01</v>
      </c>
      <c r="H33" s="53" t="n">
        <v>-0.01</v>
      </c>
      <c r="I33" s="55" t="n">
        <v>0.164</v>
      </c>
      <c r="J33" s="55" t="n">
        <v>0.158</v>
      </c>
    </row>
    <row r="34">
      <c r="A34" s="30" t="inlineStr">
        <is>
          <t>Florida State</t>
        </is>
      </c>
      <c r="B34" s="26" t="inlineStr">
        <is>
          <t>ACC</t>
        </is>
      </c>
      <c r="C34" s="34" t="n">
        <v>800.2</v>
      </c>
      <c r="D34" s="34" t="n">
        <v>0</v>
      </c>
      <c r="E34" s="53" t="n">
        <v>0.41</v>
      </c>
      <c r="F34" s="53" t="n">
        <v>1.5379</v>
      </c>
      <c r="G34" s="53" t="n">
        <v>0.19</v>
      </c>
      <c r="H34" s="53" t="n">
        <v>0.31</v>
      </c>
      <c r="I34" s="55" t="n">
        <v>0.149</v>
      </c>
      <c r="J34" s="55" t="n">
        <v>0.17</v>
      </c>
    </row>
    <row r="35">
      <c r="A35" s="30" t="inlineStr">
        <is>
          <t>Fresno State</t>
        </is>
      </c>
      <c r="B35" s="26" t="inlineStr">
        <is>
          <t>Mountain West</t>
        </is>
      </c>
      <c r="C35" s="34" t="n">
        <v>609.75</v>
      </c>
      <c r="D35" s="34" t="n">
        <v>7.7</v>
      </c>
      <c r="E35" s="53" t="n">
        <v>0.3464</v>
      </c>
      <c r="F35" s="53" t="n">
        <v>1.3909</v>
      </c>
      <c r="G35" s="53" t="n">
        <v>0.07000000000000001</v>
      </c>
      <c r="H35" s="53" t="n">
        <v>-0.04</v>
      </c>
      <c r="I35" s="55" t="n">
        <v>0.146</v>
      </c>
      <c r="J35" s="55" t="n">
        <v>0.134</v>
      </c>
    </row>
    <row r="36">
      <c r="A36" s="30" t="inlineStr">
        <is>
          <t>Georgia</t>
        </is>
      </c>
      <c r="B36" s="26" t="inlineStr">
        <is>
          <t>SEC</t>
        </is>
      </c>
      <c r="C36" s="34" t="n">
        <v>1003.67</v>
      </c>
      <c r="D36" s="34" t="n">
        <v>46</v>
      </c>
      <c r="E36" s="53" t="n">
        <v>0.5767</v>
      </c>
      <c r="F36" s="53" t="n">
        <v>1.35</v>
      </c>
      <c r="G36" s="53" t="n">
        <v>0.55</v>
      </c>
      <c r="H36" s="53" t="n">
        <v>-0.09</v>
      </c>
      <c r="I36" s="55" t="n">
        <v>0.199</v>
      </c>
      <c r="J36" s="55" t="n">
        <v>0.111</v>
      </c>
    </row>
    <row r="37">
      <c r="A37" s="30" t="inlineStr">
        <is>
          <t>Georgia Southern</t>
        </is>
      </c>
      <c r="B37" s="26" t="inlineStr">
        <is>
          <t>Sun Belt</t>
        </is>
      </c>
      <c r="C37" s="34" t="n">
        <v>634.1900000000001</v>
      </c>
      <c r="D37" s="34" t="n">
        <v>4</v>
      </c>
      <c r="E37" s="53" t="n">
        <v>0.3991</v>
      </c>
      <c r="F37" s="53" t="n">
        <v>1.1139</v>
      </c>
      <c r="G37" s="53" t="n">
        <v>0.05</v>
      </c>
      <c r="H37" s="53" t="n">
        <v>-0.05</v>
      </c>
      <c r="I37" s="55" t="n">
        <v>0.236</v>
      </c>
      <c r="J37" s="55" t="n">
        <v>0.174</v>
      </c>
    </row>
    <row r="38">
      <c r="A38" s="30" t="inlineStr">
        <is>
          <t>Georgia State</t>
        </is>
      </c>
      <c r="B38" s="26" t="inlineStr">
        <is>
          <t>Sun Belt</t>
        </is>
      </c>
      <c r="C38" s="34" t="n">
        <v>573.83</v>
      </c>
      <c r="D38" s="34" t="n">
        <v>16.3</v>
      </c>
      <c r="E38" s="53" t="n">
        <v>0.4912</v>
      </c>
      <c r="F38" s="53" t="n">
        <v>1.2399</v>
      </c>
      <c r="G38" s="53" t="n">
        <v>0.26</v>
      </c>
      <c r="H38" s="53" t="n">
        <v>0.06</v>
      </c>
      <c r="I38" s="55" t="n">
        <v>0.154</v>
      </c>
      <c r="J38" s="55" t="n">
        <v>0.096</v>
      </c>
    </row>
    <row r="39">
      <c r="A39" s="30" t="inlineStr">
        <is>
          <t>Georgia Tech</t>
        </is>
      </c>
      <c r="B39" s="26" t="inlineStr">
        <is>
          <t>ACC</t>
        </is>
      </c>
      <c r="C39" s="34" t="n">
        <v>751.65</v>
      </c>
      <c r="D39" s="34" t="n">
        <v>3.7</v>
      </c>
      <c r="E39" s="53" t="n">
        <v>0.4392</v>
      </c>
      <c r="F39" s="53" t="n">
        <v>1.1063</v>
      </c>
      <c r="G39" s="53" t="n">
        <v>0.11</v>
      </c>
      <c r="H39" s="53" t="n">
        <v>0.11</v>
      </c>
      <c r="I39" s="55" t="n">
        <v>0.173</v>
      </c>
      <c r="J39" s="55" t="n">
        <v>0.159</v>
      </c>
    </row>
    <row r="40">
      <c r="A40" s="30" t="inlineStr">
        <is>
          <t>Hawaii</t>
        </is>
      </c>
      <c r="B40" s="26" t="inlineStr">
        <is>
          <t>Mountain West</t>
        </is>
      </c>
      <c r="C40" s="34" t="n">
        <v>556.8200000000001</v>
      </c>
      <c r="D40" s="34" t="n">
        <v>-5</v>
      </c>
      <c r="E40" s="53" t="n">
        <v>0.3739</v>
      </c>
      <c r="F40" s="53" t="n">
        <v>1.1626</v>
      </c>
      <c r="G40" s="53" t="n">
        <v>0.03</v>
      </c>
      <c r="H40" s="53" t="n">
        <v>0.13</v>
      </c>
      <c r="I40" s="55" t="n">
        <v>0.146</v>
      </c>
      <c r="J40" s="55" t="n">
        <v>0.17</v>
      </c>
    </row>
    <row r="41">
      <c r="A41" s="30" t="inlineStr">
        <is>
          <t>Houston</t>
        </is>
      </c>
      <c r="B41" s="26" t="inlineStr">
        <is>
          <t>Big 12</t>
        </is>
      </c>
      <c r="C41" s="34" t="n">
        <v>695.9299999999999</v>
      </c>
      <c r="D41" s="34" t="n">
        <v>27.3</v>
      </c>
      <c r="E41" s="53" t="n">
        <v>0.5741000000000001</v>
      </c>
      <c r="F41" s="53" t="n">
        <v>1.1341</v>
      </c>
      <c r="G41" s="53" t="n">
        <v>0.43</v>
      </c>
      <c r="H41" s="53" t="n">
        <v>0.04</v>
      </c>
      <c r="I41" s="55" t="n">
        <v>0.218</v>
      </c>
      <c r="J41" s="55" t="n">
        <v>0.116</v>
      </c>
    </row>
    <row r="42">
      <c r="A42" s="30" t="inlineStr">
        <is>
          <t>Illinois</t>
        </is>
      </c>
      <c r="B42" s="26" t="inlineStr">
        <is>
          <t>Big Ten</t>
        </is>
      </c>
      <c r="C42" s="34" t="n">
        <v>704.01</v>
      </c>
      <c r="D42" s="34" t="n">
        <v>17.7</v>
      </c>
      <c r="E42" s="53" t="n">
        <v>0.5434</v>
      </c>
      <c r="F42" s="53" t="n">
        <v>1.1916</v>
      </c>
      <c r="G42" s="53" t="n">
        <v>0.29</v>
      </c>
      <c r="H42" s="53" t="n">
        <v>0.08</v>
      </c>
      <c r="I42" s="55" t="n">
        <v>0.146</v>
      </c>
      <c r="J42" s="55" t="n">
        <v>0.064</v>
      </c>
    </row>
    <row r="43">
      <c r="A43" s="30" t="inlineStr">
        <is>
          <t>Indiana</t>
        </is>
      </c>
      <c r="B43" s="26" t="inlineStr">
        <is>
          <t>Big Ten</t>
        </is>
      </c>
      <c r="C43" s="34" t="n">
        <v>735.26</v>
      </c>
      <c r="D43" s="34" t="n">
        <v>43</v>
      </c>
      <c r="E43" s="53" t="n">
        <v>0.517</v>
      </c>
      <c r="F43" s="53" t="n">
        <v>1.4492</v>
      </c>
      <c r="G43" s="53" t="n">
        <v>0.48</v>
      </c>
      <c r="H43" s="53" t="n">
        <v>-0.22</v>
      </c>
      <c r="I43" s="55" t="n">
        <v>0.207</v>
      </c>
      <c r="J43" s="55" t="n">
        <v>0.108</v>
      </c>
    </row>
    <row r="44">
      <c r="A44" s="30" t="inlineStr">
        <is>
          <t>Iowa</t>
        </is>
      </c>
      <c r="B44" s="26" t="inlineStr">
        <is>
          <t>Big Ten</t>
        </is>
      </c>
      <c r="C44" s="34" t="n">
        <v>722.73</v>
      </c>
      <c r="D44" s="34" t="n">
        <v>32.7</v>
      </c>
      <c r="E44" s="53" t="n">
        <v>0.4729</v>
      </c>
      <c r="F44" s="53" t="n">
        <v>1.2195</v>
      </c>
      <c r="G44" s="53" t="n">
        <v>0.21</v>
      </c>
      <c r="H44" s="53" t="n">
        <v>-0.25</v>
      </c>
      <c r="I44" s="55" t="n">
        <v>0.207</v>
      </c>
      <c r="J44" s="55" t="n">
        <v>0.089</v>
      </c>
    </row>
    <row r="45">
      <c r="A45" s="30" t="inlineStr">
        <is>
          <t>Iowa State</t>
        </is>
      </c>
      <c r="B45" s="26" t="inlineStr">
        <is>
          <t>Big 12</t>
        </is>
      </c>
      <c r="C45" s="34" t="n">
        <v>669.55</v>
      </c>
      <c r="D45" s="34" t="n">
        <v>24.3</v>
      </c>
      <c r="E45" s="53" t="n">
        <v>0.3892</v>
      </c>
      <c r="F45" s="53" t="n">
        <v>1.3864</v>
      </c>
      <c r="G45" s="53" t="n">
        <v>0.22</v>
      </c>
      <c r="H45" s="53" t="n">
        <v>-0.16</v>
      </c>
      <c r="I45" s="55" t="n">
        <v>0.187</v>
      </c>
      <c r="J45" s="55" t="n">
        <v>0.15</v>
      </c>
    </row>
    <row r="46">
      <c r="A46" s="30" t="inlineStr">
        <is>
          <t>Jacksonville State</t>
        </is>
      </c>
      <c r="B46" s="26" t="inlineStr">
        <is>
          <t>C-USA</t>
        </is>
      </c>
      <c r="C46" s="34" t="n">
        <v>602.83</v>
      </c>
      <c r="D46" s="34" t="n">
        <v>4.5</v>
      </c>
      <c r="E46" s="53" t="n">
        <v>0.4583</v>
      </c>
      <c r="F46" s="53" t="n">
        <v>1.2433</v>
      </c>
      <c r="G46" s="53" t="n">
        <v>0.21</v>
      </c>
      <c r="H46" s="53" t="n">
        <v>0.02</v>
      </c>
      <c r="I46" s="55" t="n">
        <v>0.148</v>
      </c>
      <c r="J46" s="55" t="n">
        <v>0.149</v>
      </c>
    </row>
    <row r="47">
      <c r="A47" s="30" t="inlineStr">
        <is>
          <t>James Madison</t>
        </is>
      </c>
      <c r="B47" s="26" t="inlineStr">
        <is>
          <t>Sun Belt</t>
        </is>
      </c>
      <c r="C47" s="34" t="n">
        <v>588.3099999999999</v>
      </c>
      <c r="D47" s="34" t="n">
        <v>34.7</v>
      </c>
      <c r="E47" s="53" t="n">
        <v>0.5053</v>
      </c>
      <c r="F47" s="53" t="n">
        <v>1.2414</v>
      </c>
      <c r="G47" s="53" t="n">
        <v>0.36</v>
      </c>
      <c r="H47" s="53" t="n">
        <v>-0.21</v>
      </c>
      <c r="I47" s="55" t="n">
        <v>0.156</v>
      </c>
      <c r="J47" s="55" t="n">
        <v>0.101</v>
      </c>
    </row>
    <row r="48">
      <c r="A48" s="30" t="inlineStr">
        <is>
          <t>Kansas</t>
        </is>
      </c>
      <c r="B48" s="26" t="inlineStr">
        <is>
          <t>Big 12</t>
        </is>
      </c>
      <c r="C48" s="34" t="n">
        <v>684.51</v>
      </c>
      <c r="D48" s="34" t="n">
        <v>7</v>
      </c>
      <c r="E48" s="53" t="n">
        <v>0.4409</v>
      </c>
      <c r="F48" s="53" t="n">
        <v>1.4289</v>
      </c>
      <c r="G48" s="53" t="n">
        <v>0.2</v>
      </c>
      <c r="H48" s="53" t="n">
        <v>-0.07000000000000001</v>
      </c>
      <c r="I48" s="55" t="n">
        <v>0.2</v>
      </c>
      <c r="J48" s="55" t="n">
        <v>0.173</v>
      </c>
    </row>
    <row r="49">
      <c r="A49" s="30" t="inlineStr">
        <is>
          <t>Kansas State</t>
        </is>
      </c>
      <c r="B49" s="26" t="inlineStr">
        <is>
          <t>Big 12</t>
        </is>
      </c>
      <c r="C49" s="34" t="n">
        <v>718.67</v>
      </c>
      <c r="D49" s="34" t="n">
        <v>35.3</v>
      </c>
      <c r="E49" s="53" t="n">
        <v>0.5302</v>
      </c>
      <c r="F49" s="53" t="n">
        <v>1.3053</v>
      </c>
      <c r="G49" s="53" t="n">
        <v>0.34</v>
      </c>
      <c r="H49" s="53" t="n">
        <v>-0.16</v>
      </c>
      <c r="I49" s="55" t="n">
        <v>0.262</v>
      </c>
      <c r="J49" s="55" t="n">
        <v>0.08799999999999999</v>
      </c>
    </row>
    <row r="50">
      <c r="A50" s="30" t="inlineStr">
        <is>
          <t>Kennesaw State</t>
        </is>
      </c>
      <c r="B50" s="26" t="inlineStr">
        <is>
          <t>C-USA</t>
        </is>
      </c>
      <c r="C50" s="34" t="n">
        <v>502.86</v>
      </c>
      <c r="D50" s="34" t="n">
        <v>0</v>
      </c>
      <c r="E50" s="53" t="n">
        <v>0.4563</v>
      </c>
      <c r="F50" s="53" t="n">
        <v>1.0927</v>
      </c>
      <c r="G50" s="53" t="n">
        <v>0.11</v>
      </c>
      <c r="H50" s="53" t="n">
        <v>0.12</v>
      </c>
      <c r="I50" s="55" t="n">
        <v>0.095</v>
      </c>
      <c r="J50" s="55" t="n">
        <v>0.146</v>
      </c>
    </row>
    <row r="51">
      <c r="A51" s="30" t="inlineStr">
        <is>
          <t>Kent State</t>
        </is>
      </c>
      <c r="B51" s="26" t="inlineStr">
        <is>
          <t>MAC</t>
        </is>
      </c>
      <c r="C51" s="34" t="n">
        <v>522.83</v>
      </c>
      <c r="D51" s="34" t="n">
        <v>-30.7</v>
      </c>
      <c r="E51" s="53" t="n">
        <v>0.3034</v>
      </c>
      <c r="F51" s="53" t="n">
        <v>1.252</v>
      </c>
      <c r="G51" s="53" t="n">
        <v>-0.11</v>
      </c>
      <c r="H51" s="53" t="n">
        <v>0.24</v>
      </c>
      <c r="I51" s="55" t="n">
        <v>0.13</v>
      </c>
      <c r="J51" s="55" t="n">
        <v>0.191</v>
      </c>
    </row>
    <row r="52">
      <c r="A52" s="30" t="inlineStr">
        <is>
          <t>Kentucky</t>
        </is>
      </c>
      <c r="B52" s="26" t="inlineStr">
        <is>
          <t>SEC</t>
        </is>
      </c>
      <c r="C52" s="34" t="n">
        <v>786.65</v>
      </c>
      <c r="D52" s="34" t="n">
        <v>4.7</v>
      </c>
      <c r="E52" s="53" t="n">
        <v>0.4809</v>
      </c>
      <c r="F52" s="53" t="n">
        <v>1.1917</v>
      </c>
      <c r="G52" s="53" t="n">
        <v>0.2</v>
      </c>
      <c r="H52" s="53" t="n">
        <v>0.03</v>
      </c>
      <c r="I52" s="55" t="n">
        <v>0.186</v>
      </c>
      <c r="J52" s="55" t="n">
        <v>0.142</v>
      </c>
    </row>
    <row r="53">
      <c r="A53" s="30" t="inlineStr">
        <is>
          <t>LSU</t>
        </is>
      </c>
      <c r="B53" s="26" t="inlineStr">
        <is>
          <t>SEC</t>
        </is>
      </c>
      <c r="C53" s="34" t="n">
        <v>931.76</v>
      </c>
      <c r="D53" s="34" t="n">
        <v>21.3</v>
      </c>
      <c r="E53" s="53" t="n">
        <v>0.4881</v>
      </c>
      <c r="F53" s="53" t="n">
        <v>1.2497</v>
      </c>
      <c r="G53" s="53" t="n">
        <v>0.21</v>
      </c>
      <c r="H53" s="53" t="n">
        <v>-0.15</v>
      </c>
      <c r="I53" s="55" t="n">
        <v>0.223</v>
      </c>
      <c r="J53" s="55" t="n">
        <v>0.171</v>
      </c>
    </row>
    <row r="54">
      <c r="A54" s="30" t="inlineStr">
        <is>
          <t>Liberty</t>
        </is>
      </c>
      <c r="B54" s="26" t="inlineStr">
        <is>
          <t>C-USA</t>
        </is>
      </c>
      <c r="C54" s="34" t="n">
        <v>633.35</v>
      </c>
      <c r="D54" s="34" t="n">
        <v>10</v>
      </c>
      <c r="E54" s="53" t="n">
        <v>0.43</v>
      </c>
      <c r="F54" s="53" t="n">
        <v>1.3043</v>
      </c>
      <c r="G54" s="53" t="n">
        <v>0.08</v>
      </c>
      <c r="H54" s="53" t="n">
        <v>0.08</v>
      </c>
      <c r="I54" s="55" t="n">
        <v>0.204</v>
      </c>
      <c r="J54" s="55" t="n">
        <v>0.155</v>
      </c>
    </row>
    <row r="55">
      <c r="A55" s="30" t="inlineStr">
        <is>
          <t>Louisiana</t>
        </is>
      </c>
      <c r="B55" s="26" t="inlineStr">
        <is>
          <t>Sun Belt</t>
        </is>
      </c>
      <c r="C55" s="34" t="n">
        <v>590.9400000000001</v>
      </c>
      <c r="D55" s="34" t="n">
        <v>6.3</v>
      </c>
      <c r="E55" s="53" t="n">
        <v>0.4375</v>
      </c>
      <c r="F55" s="53" t="n">
        <v>1.2433</v>
      </c>
      <c r="G55" s="53" t="n">
        <v>0.2</v>
      </c>
      <c r="H55" s="53" t="n">
        <v>-0.06</v>
      </c>
      <c r="I55" s="55" t="n">
        <v>0.152</v>
      </c>
      <c r="J55" s="55" t="n">
        <v>0.13</v>
      </c>
    </row>
    <row r="56">
      <c r="A56" s="30" t="inlineStr">
        <is>
          <t>Louisiana Tech</t>
        </is>
      </c>
      <c r="B56" s="26" t="inlineStr">
        <is>
          <t>C-USA</t>
        </is>
      </c>
      <c r="C56" s="34" t="n">
        <v>543.02</v>
      </c>
      <c r="D56" s="34" t="n">
        <v>8.699999999999999</v>
      </c>
      <c r="E56" s="53" t="n">
        <v>0.3368</v>
      </c>
      <c r="F56" s="53" t="n">
        <v>1.4429</v>
      </c>
      <c r="G56" s="53" t="n">
        <v>0.01</v>
      </c>
      <c r="H56" s="53" t="n">
        <v>-0.01</v>
      </c>
      <c r="I56" s="55" t="n">
        <v>0.242</v>
      </c>
      <c r="J56" s="55" t="n">
        <v>0.181</v>
      </c>
    </row>
    <row r="57">
      <c r="A57" s="30" t="inlineStr">
        <is>
          <t>Louisiana-Monroe</t>
        </is>
      </c>
      <c r="B57" s="26" t="inlineStr">
        <is>
          <t>Sun Belt</t>
        </is>
      </c>
      <c r="C57" s="34" t="n">
        <v>505.49</v>
      </c>
      <c r="D57" s="34" t="n">
        <v>-19.3</v>
      </c>
      <c r="E57" s="53" t="n">
        <v>0.4233</v>
      </c>
      <c r="F57" s="53" t="n">
        <v>1.0168</v>
      </c>
      <c r="G57" s="53" t="n">
        <v>-0.11</v>
      </c>
      <c r="H57" s="53" t="n">
        <v>0.31</v>
      </c>
      <c r="I57" s="55" t="n">
        <v>0.127</v>
      </c>
      <c r="J57" s="55" t="n">
        <v>0.177</v>
      </c>
    </row>
    <row r="58">
      <c r="A58" s="30" t="inlineStr">
        <is>
          <t>Louisville</t>
        </is>
      </c>
      <c r="B58" s="26" t="inlineStr">
        <is>
          <t>ACC</t>
        </is>
      </c>
      <c r="C58" s="34" t="n">
        <v>739.97</v>
      </c>
      <c r="D58" s="34" t="n">
        <v>17.7</v>
      </c>
      <c r="E58" s="53" t="n">
        <v>0.5282</v>
      </c>
      <c r="F58" s="53" t="n">
        <v>1.3719</v>
      </c>
      <c r="G58" s="53" t="n">
        <v>0.44</v>
      </c>
      <c r="H58" s="53" t="n">
        <v>0.08</v>
      </c>
      <c r="I58" s="55" t="n">
        <v>0.138</v>
      </c>
      <c r="J58" s="55" t="n">
        <v>0.128</v>
      </c>
    </row>
    <row r="59">
      <c r="A59" s="30" t="inlineStr">
        <is>
          <t>Marshall</t>
        </is>
      </c>
      <c r="B59" s="26" t="inlineStr">
        <is>
          <t>Sun Belt</t>
        </is>
      </c>
      <c r="C59" s="34" t="n">
        <v>594.71</v>
      </c>
      <c r="D59" s="34" t="n">
        <v>-12.3</v>
      </c>
      <c r="E59" s="53" t="n">
        <v>0.4188</v>
      </c>
      <c r="F59" s="53" t="n">
        <v>1.0678</v>
      </c>
      <c r="G59" s="53" t="n">
        <v>0.06</v>
      </c>
      <c r="H59" s="53" t="n">
        <v>0.33</v>
      </c>
      <c r="I59" s="55" t="n">
        <v>0.106</v>
      </c>
      <c r="J59" s="55" t="n">
        <v>0.188</v>
      </c>
    </row>
    <row r="60">
      <c r="A60" s="30" t="inlineStr">
        <is>
          <t>Maryland</t>
        </is>
      </c>
      <c r="B60" s="26" t="inlineStr">
        <is>
          <t>Big Ten</t>
        </is>
      </c>
      <c r="C60" s="34" t="n">
        <v>719.64</v>
      </c>
      <c r="D60" s="34" t="n">
        <v>25.7</v>
      </c>
      <c r="E60" s="53" t="n">
        <v>0.5268</v>
      </c>
      <c r="F60" s="53" t="n">
        <v>1.253</v>
      </c>
      <c r="G60" s="53" t="n">
        <v>0.35</v>
      </c>
      <c r="H60" s="53" t="n">
        <v>0.01</v>
      </c>
      <c r="I60" s="55" t="n">
        <v>0.149</v>
      </c>
      <c r="J60" s="55" t="n">
        <v>0.112</v>
      </c>
    </row>
    <row r="61">
      <c r="A61" s="30" t="inlineStr">
        <is>
          <t>Memphis</t>
        </is>
      </c>
      <c r="B61" s="26" t="inlineStr">
        <is>
          <t>American</t>
        </is>
      </c>
      <c r="C61" s="34" t="n">
        <v>670.3099999999999</v>
      </c>
      <c r="D61" s="34" t="n">
        <v>7.5</v>
      </c>
      <c r="E61" s="53" t="n">
        <v>0.4724</v>
      </c>
      <c r="F61" s="53" t="n">
        <v>1.3698</v>
      </c>
      <c r="G61" s="53" t="n">
        <v>0.26</v>
      </c>
      <c r="H61" s="53" t="n">
        <v>0.18</v>
      </c>
      <c r="I61" s="55" t="n">
        <v>0.149</v>
      </c>
      <c r="J61" s="55" t="n">
        <v>0.126</v>
      </c>
    </row>
    <row r="62">
      <c r="A62" s="30" t="inlineStr">
        <is>
          <t>Miami</t>
        </is>
      </c>
      <c r="B62" s="26" t="inlineStr">
        <is>
          <t>ACC</t>
        </is>
      </c>
      <c r="C62" s="34" t="n">
        <v>885.9400000000001</v>
      </c>
      <c r="D62" s="34" t="n">
        <v>40.7</v>
      </c>
      <c r="E62" s="53" t="n">
        <v>0.5659999999999999</v>
      </c>
      <c r="F62" s="53" t="n">
        <v>1.2823</v>
      </c>
      <c r="G62" s="53" t="n">
        <v>0.45</v>
      </c>
      <c r="H62" s="53" t="n">
        <v>-0.03</v>
      </c>
      <c r="I62" s="55" t="n">
        <v>0.141</v>
      </c>
      <c r="J62" s="55" t="n">
        <v>0.047</v>
      </c>
    </row>
    <row r="63">
      <c r="A63" s="30" t="inlineStr">
        <is>
          <t>Miami (OH)</t>
        </is>
      </c>
      <c r="B63" s="26" t="inlineStr">
        <is>
          <t>MAC</t>
        </is>
      </c>
      <c r="C63" s="34" t="n">
        <v>621.37</v>
      </c>
      <c r="D63" s="34" t="n">
        <v>-3.7</v>
      </c>
      <c r="E63" s="53" t="n">
        <v>0.4335</v>
      </c>
      <c r="F63" s="53" t="n">
        <v>1.4002</v>
      </c>
      <c r="G63" s="53" t="n">
        <v>0.26</v>
      </c>
      <c r="H63" s="53" t="n">
        <v>0.2</v>
      </c>
      <c r="I63" s="55" t="n">
        <v>0.1</v>
      </c>
      <c r="J63" s="55" t="n">
        <v>0.145</v>
      </c>
    </row>
    <row r="64">
      <c r="A64" s="30" t="inlineStr">
        <is>
          <t>Michigan</t>
        </is>
      </c>
      <c r="B64" s="26" t="inlineStr">
        <is>
          <t>Big Ten</t>
        </is>
      </c>
      <c r="C64" s="34" t="n">
        <v>890.02</v>
      </c>
      <c r="D64" s="34" t="n">
        <v>14.3</v>
      </c>
      <c r="E64" s="53" t="n">
        <v>0.4294</v>
      </c>
      <c r="F64" s="53" t="n">
        <v>1.2247</v>
      </c>
      <c r="G64" s="53" t="n">
        <v>0.18</v>
      </c>
      <c r="H64" s="53" t="n">
        <v>-0.13</v>
      </c>
      <c r="I64" s="55" t="n">
        <v>0.193</v>
      </c>
      <c r="J64" s="55" t="n">
        <v>0.153</v>
      </c>
    </row>
    <row r="65">
      <c r="A65" s="30" t="inlineStr">
        <is>
          <t>Michigan State</t>
        </is>
      </c>
      <c r="B65" s="26" t="inlineStr">
        <is>
          <t>Big Ten</t>
        </is>
      </c>
      <c r="C65" s="34" t="n">
        <v>685.02</v>
      </c>
      <c r="D65" s="34" t="n">
        <v>7</v>
      </c>
      <c r="E65" s="53" t="n">
        <v>0.4369</v>
      </c>
      <c r="F65" s="53" t="n">
        <v>1.1269</v>
      </c>
      <c r="G65" s="53" t="n">
        <v>0.08</v>
      </c>
      <c r="H65" s="53" t="n">
        <v>0.11</v>
      </c>
      <c r="I65" s="55" t="n">
        <v>0.166</v>
      </c>
      <c r="J65" s="55" t="n">
        <v>0.17</v>
      </c>
    </row>
    <row r="66">
      <c r="A66" s="30" t="inlineStr">
        <is>
          <t>Middle Tennessee</t>
        </is>
      </c>
      <c r="B66" s="26" t="inlineStr">
        <is>
          <t>C-USA</t>
        </is>
      </c>
      <c r="C66" s="34" t="n">
        <v>571.5</v>
      </c>
      <c r="D66" s="34" t="n">
        <v>9.699999999999999</v>
      </c>
      <c r="E66" s="53" t="n">
        <v>0.4233</v>
      </c>
      <c r="F66" s="53" t="n">
        <v>1.1899</v>
      </c>
      <c r="G66" s="53" t="n">
        <v>0.22</v>
      </c>
      <c r="H66" s="53" t="n">
        <v>0.07000000000000001</v>
      </c>
      <c r="I66" s="55" t="n">
        <v>0.135</v>
      </c>
      <c r="J66" s="55" t="n">
        <v>0.09</v>
      </c>
    </row>
    <row r="67">
      <c r="A67" s="30" t="inlineStr">
        <is>
          <t>Minnesota</t>
        </is>
      </c>
      <c r="B67" s="26" t="inlineStr">
        <is>
          <t>Big Ten</t>
        </is>
      </c>
      <c r="C67" s="34" t="n">
        <v>728.79</v>
      </c>
      <c r="D67" s="34" t="n">
        <v>20.3</v>
      </c>
      <c r="E67" s="53" t="n">
        <v>0.495</v>
      </c>
      <c r="F67" s="53" t="n">
        <v>1.0693</v>
      </c>
      <c r="G67" s="53" t="n">
        <v>0.15</v>
      </c>
      <c r="H67" s="53" t="n">
        <v>0.03</v>
      </c>
      <c r="I67" s="55" t="n">
        <v>0.22</v>
      </c>
      <c r="J67" s="55" t="n">
        <v>0.149</v>
      </c>
    </row>
    <row r="68">
      <c r="A68" s="30" t="inlineStr">
        <is>
          <t>Mississippi State</t>
        </is>
      </c>
      <c r="B68" s="26" t="inlineStr">
        <is>
          <t>SEC</t>
        </is>
      </c>
      <c r="C68" s="34" t="n">
        <v>804.53</v>
      </c>
      <c r="D68" s="34" t="n">
        <v>27</v>
      </c>
      <c r="E68" s="53" t="n">
        <v>0.5355</v>
      </c>
      <c r="F68" s="53" t="n">
        <v>1.3347</v>
      </c>
      <c r="G68" s="53" t="n">
        <v>0.46</v>
      </c>
      <c r="H68" s="53" t="n">
        <v>-0.02</v>
      </c>
      <c r="I68" s="55" t="n">
        <v>0.149</v>
      </c>
      <c r="J68" s="55" t="n">
        <v>0.111</v>
      </c>
    </row>
    <row r="69">
      <c r="A69" s="30" t="inlineStr">
        <is>
          <t>Missouri</t>
        </is>
      </c>
      <c r="B69" s="26" t="inlineStr">
        <is>
          <t>SEC</t>
        </is>
      </c>
      <c r="C69" s="34" t="n">
        <v>808.36</v>
      </c>
      <c r="D69" s="34" t="n">
        <v>22.3</v>
      </c>
      <c r="E69" s="53" t="n">
        <v>0.4335</v>
      </c>
      <c r="F69" s="53" t="n">
        <v>1.2853</v>
      </c>
      <c r="G69" s="53" t="n">
        <v>0.23</v>
      </c>
      <c r="H69" s="53" t="n">
        <v>-0.07000000000000001</v>
      </c>
      <c r="I69" s="55" t="n">
        <v>0.254</v>
      </c>
      <c r="J69" s="55" t="n">
        <v>0.128</v>
      </c>
    </row>
    <row r="70">
      <c r="A70" s="30" t="inlineStr">
        <is>
          <t>Missouri State</t>
        </is>
      </c>
      <c r="B70" s="26" t="inlineStr">
        <is>
          <t>C-USA</t>
        </is>
      </c>
      <c r="C70" s="34" t="n">
        <v>549.92</v>
      </c>
      <c r="D70" s="34" t="n">
        <v>-7.3</v>
      </c>
      <c r="E70" s="53" t="n">
        <v>0.4348</v>
      </c>
      <c r="F70" s="53" t="n">
        <v>1.2412</v>
      </c>
      <c r="G70" s="53" t="n">
        <v>0.18</v>
      </c>
      <c r="H70" s="53" t="n">
        <v>0.24</v>
      </c>
      <c r="I70" s="55" t="n">
        <v>0.17</v>
      </c>
      <c r="J70" s="55" t="n">
        <v>0.13</v>
      </c>
    </row>
    <row r="71">
      <c r="A71" s="30" t="inlineStr">
        <is>
          <t>NC State</t>
        </is>
      </c>
      <c r="B71" s="26" t="inlineStr">
        <is>
          <t>ACC</t>
        </is>
      </c>
      <c r="C71" s="34" t="n">
        <v>757.14</v>
      </c>
      <c r="D71" s="34" t="n">
        <v>14.3</v>
      </c>
      <c r="E71" s="53" t="n">
        <v>0.4703</v>
      </c>
      <c r="F71" s="53" t="n">
        <v>1.2601</v>
      </c>
      <c r="G71" s="53" t="n">
        <v>0.2</v>
      </c>
      <c r="H71" s="53" t="n">
        <v>0.13</v>
      </c>
      <c r="I71" s="55" t="n">
        <v>0.156</v>
      </c>
      <c r="J71" s="55" t="n">
        <v>0.158</v>
      </c>
    </row>
    <row r="72">
      <c r="A72" s="30" t="inlineStr">
        <is>
          <t>Navy</t>
        </is>
      </c>
      <c r="B72" s="26" t="inlineStr">
        <is>
          <t>American</t>
        </is>
      </c>
      <c r="C72" s="34" t="n">
        <v>195.68</v>
      </c>
      <c r="D72" s="34" t="n">
        <v>9.5</v>
      </c>
      <c r="E72" s="53" t="n">
        <v>0.5294</v>
      </c>
      <c r="F72" s="53" t="n">
        <v>1.2054</v>
      </c>
      <c r="G72" s="53" t="n">
        <v>0.32</v>
      </c>
      <c r="H72" s="53" t="n">
        <v>0.15</v>
      </c>
      <c r="I72" s="55" t="n">
        <v>0.148</v>
      </c>
      <c r="J72" s="55" t="n">
        <v>0.125</v>
      </c>
    </row>
    <row r="73">
      <c r="A73" s="30" t="inlineStr">
        <is>
          <t>Nebraska</t>
        </is>
      </c>
      <c r="B73" s="26" t="inlineStr">
        <is>
          <t>Big Ten</t>
        </is>
      </c>
      <c r="C73" s="34" t="n">
        <v>787.45</v>
      </c>
      <c r="D73" s="34" t="n">
        <v>34.7</v>
      </c>
      <c r="E73" s="53" t="n">
        <v>0.5142</v>
      </c>
      <c r="F73" s="53" t="n">
        <v>1.4704</v>
      </c>
      <c r="G73" s="53" t="n">
        <v>0.47</v>
      </c>
      <c r="H73" s="53" t="n">
        <v>0.03</v>
      </c>
      <c r="I73" s="55" t="n">
        <v>0.183</v>
      </c>
      <c r="J73" s="55" t="n">
        <v>0.108</v>
      </c>
    </row>
    <row r="74">
      <c r="A74" s="30" t="inlineStr">
        <is>
          <t>Nevada</t>
        </is>
      </c>
      <c r="B74" s="26" t="inlineStr">
        <is>
          <t>Mountain West</t>
        </is>
      </c>
      <c r="C74" s="34" t="n">
        <v>549.99</v>
      </c>
      <c r="D74" s="34" t="n">
        <v>5</v>
      </c>
      <c r="E74" s="53" t="n">
        <v>0.418</v>
      </c>
      <c r="F74" s="53" t="n">
        <v>1.2897</v>
      </c>
      <c r="G74" s="53" t="n">
        <v>0.08</v>
      </c>
      <c r="H74" s="53" t="n">
        <v>0.1</v>
      </c>
      <c r="I74" s="55" t="n">
        <v>0.124</v>
      </c>
      <c r="J74" s="55" t="n">
        <v>0.116</v>
      </c>
    </row>
    <row r="75">
      <c r="A75" s="30" t="inlineStr">
        <is>
          <t>New Mexico</t>
        </is>
      </c>
      <c r="B75" s="26" t="inlineStr">
        <is>
          <t>Mountain West</t>
        </is>
      </c>
      <c r="C75" s="34" t="n">
        <v>568.1900000000001</v>
      </c>
      <c r="D75" s="34" t="n">
        <v>28.7</v>
      </c>
      <c r="E75" s="53" t="n">
        <v>0.408</v>
      </c>
      <c r="F75" s="53" t="n">
        <v>1.1669</v>
      </c>
      <c r="G75" s="53" t="n">
        <v>0.1</v>
      </c>
      <c r="H75" s="53" t="n">
        <v>-0.22</v>
      </c>
      <c r="I75" s="55" t="n">
        <v>0.259</v>
      </c>
      <c r="J75" s="55" t="n">
        <v>0.124</v>
      </c>
    </row>
    <row r="76">
      <c r="A76" s="30" t="inlineStr">
        <is>
          <t>New Mexico State</t>
        </is>
      </c>
      <c r="B76" s="26" t="inlineStr">
        <is>
          <t>C-USA</t>
        </is>
      </c>
      <c r="C76" s="34" t="n">
        <v>460.38</v>
      </c>
      <c r="D76" s="34" t="n">
        <v>3.3</v>
      </c>
      <c r="E76" s="53" t="n">
        <v>0.4378</v>
      </c>
      <c r="F76" s="53" t="n">
        <v>1.4261</v>
      </c>
      <c r="G76" s="53" t="n">
        <v>0.15</v>
      </c>
      <c r="H76" s="53" t="n">
        <v>0.1</v>
      </c>
      <c r="I76" s="55" t="n">
        <v>0.129</v>
      </c>
      <c r="J76" s="55" t="n">
        <v>0.159</v>
      </c>
    </row>
    <row r="77">
      <c r="A77" s="30" t="inlineStr">
        <is>
          <t>North Carolina</t>
        </is>
      </c>
      <c r="B77" s="26" t="inlineStr">
        <is>
          <t>ACC</t>
        </is>
      </c>
      <c r="C77" s="34" t="n">
        <v>767.89</v>
      </c>
      <c r="D77" s="34" t="n">
        <v>9.699999999999999</v>
      </c>
      <c r="E77" s="53" t="n">
        <v>0.4835</v>
      </c>
      <c r="F77" s="53" t="n">
        <v>1.0378</v>
      </c>
      <c r="G77" s="53" t="n">
        <v>0.12</v>
      </c>
      <c r="H77" s="53" t="n">
        <v>-0.02</v>
      </c>
      <c r="I77" s="55" t="n">
        <v>0.141</v>
      </c>
      <c r="J77" s="55" t="n">
        <v>0.132</v>
      </c>
    </row>
    <row r="78">
      <c r="A78" s="30" t="inlineStr">
        <is>
          <t>North Texas</t>
        </is>
      </c>
      <c r="B78" s="26" t="inlineStr">
        <is>
          <t>American</t>
        </is>
      </c>
      <c r="C78" s="34" t="n">
        <v>602.08</v>
      </c>
      <c r="D78" s="34" t="n">
        <v>-4</v>
      </c>
      <c r="E78" s="53" t="n">
        <v>0.4464</v>
      </c>
      <c r="F78" s="53" t="n">
        <v>1.3223</v>
      </c>
      <c r="G78" s="53" t="n">
        <v>0.21</v>
      </c>
      <c r="H78" s="53" t="n">
        <v>0.26</v>
      </c>
      <c r="I78" s="55" t="n">
        <v>0.116</v>
      </c>
      <c r="J78" s="55" t="n">
        <v>0.129</v>
      </c>
    </row>
    <row r="79">
      <c r="A79" s="30" t="inlineStr">
        <is>
          <t>Northern Illinois</t>
        </is>
      </c>
      <c r="B79" s="26" t="inlineStr">
        <is>
          <t>MAC</t>
        </is>
      </c>
      <c r="C79" s="34" t="n">
        <v>536.58</v>
      </c>
      <c r="D79" s="34" t="n">
        <v>-23</v>
      </c>
      <c r="E79" s="53" t="n">
        <v>0.349</v>
      </c>
      <c r="F79" s="53" t="n">
        <v>1.1175</v>
      </c>
      <c r="G79" s="53" t="n">
        <v>-0.14</v>
      </c>
      <c r="H79" s="53" t="n">
        <v>0.14</v>
      </c>
      <c r="I79" s="55" t="n">
        <v>0.124</v>
      </c>
      <c r="J79" s="55" t="n">
        <v>0.156</v>
      </c>
    </row>
    <row r="80">
      <c r="A80" s="30" t="inlineStr">
        <is>
          <t>Northwestern</t>
        </is>
      </c>
      <c r="B80" s="26" t="inlineStr">
        <is>
          <t>Big Ten</t>
        </is>
      </c>
      <c r="C80" s="34" t="n">
        <v>688.3200000000001</v>
      </c>
      <c r="D80" s="34" t="n">
        <v>25</v>
      </c>
      <c r="E80" s="53" t="n">
        <v>0.4923</v>
      </c>
      <c r="F80" s="53" t="n">
        <v>1.237</v>
      </c>
      <c r="G80" s="53" t="n">
        <v>0.33</v>
      </c>
      <c r="H80" s="53" t="n">
        <v>0</v>
      </c>
      <c r="I80" s="55" t="n">
        <v>0.185</v>
      </c>
      <c r="J80" s="55" t="n">
        <v>0.115</v>
      </c>
    </row>
    <row r="81">
      <c r="A81" s="30" t="inlineStr">
        <is>
          <t>Notre Dame</t>
        </is>
      </c>
      <c r="B81" s="26" t="inlineStr">
        <is>
          <t>Independent</t>
        </is>
      </c>
      <c r="C81" s="34" t="n">
        <v>953.03</v>
      </c>
      <c r="D81" s="34" t="n">
        <v>32.3</v>
      </c>
      <c r="E81" s="53" t="n">
        <v>0.5</v>
      </c>
      <c r="F81" s="53" t="n">
        <v>1.1222</v>
      </c>
      <c r="G81" s="53" t="n">
        <v>0.32</v>
      </c>
      <c r="H81" s="53" t="n">
        <v>-0.14</v>
      </c>
      <c r="I81" s="55" t="n">
        <v>0.263</v>
      </c>
      <c r="J81" s="55" t="n">
        <v>0.091</v>
      </c>
    </row>
    <row r="82">
      <c r="A82" s="30" t="inlineStr">
        <is>
          <t>Ohio</t>
        </is>
      </c>
      <c r="B82" s="26" t="inlineStr">
        <is>
          <t>MAC</t>
        </is>
      </c>
      <c r="C82" s="34" t="n">
        <v>522.84</v>
      </c>
      <c r="D82" s="34" t="n">
        <v>-10.3</v>
      </c>
      <c r="E82" s="53" t="n">
        <v>0.4175</v>
      </c>
      <c r="F82" s="53" t="n">
        <v>1.2351</v>
      </c>
      <c r="G82" s="53" t="n">
        <v>0.18</v>
      </c>
      <c r="H82" s="53" t="n">
        <v>0.37</v>
      </c>
      <c r="I82" s="55" t="n">
        <v>0.147</v>
      </c>
      <c r="J82" s="55" t="n">
        <v>0.171</v>
      </c>
    </row>
    <row r="83">
      <c r="A83" s="30" t="inlineStr">
        <is>
          <t>Ohio State</t>
        </is>
      </c>
      <c r="B83" s="26" t="inlineStr">
        <is>
          <t>Big Ten</t>
        </is>
      </c>
      <c r="C83" s="34" t="n">
        <v>964.27</v>
      </c>
      <c r="D83" s="34" t="n">
        <v>36</v>
      </c>
      <c r="E83" s="53" t="n">
        <v>0.505</v>
      </c>
      <c r="F83" s="53" t="n">
        <v>1.3647</v>
      </c>
      <c r="G83" s="53" t="n">
        <v>0.35</v>
      </c>
      <c r="H83" s="53" t="n">
        <v>-0.21</v>
      </c>
      <c r="I83" s="55" t="n">
        <v>0.199</v>
      </c>
      <c r="J83" s="55" t="n">
        <v>0.119</v>
      </c>
    </row>
    <row r="84">
      <c r="A84" s="30" t="inlineStr">
        <is>
          <t>Oklahoma</t>
        </is>
      </c>
      <c r="B84" s="26" t="inlineStr">
        <is>
          <t>SEC</t>
        </is>
      </c>
      <c r="C84" s="34" t="n">
        <v>851.14</v>
      </c>
      <c r="D84" s="34" t="n">
        <v>17.3</v>
      </c>
      <c r="E84" s="53" t="n">
        <v>0.4162</v>
      </c>
      <c r="F84" s="53" t="n">
        <v>1.1749</v>
      </c>
      <c r="G84" s="53" t="n">
        <v>0.05</v>
      </c>
      <c r="H84" s="53" t="n">
        <v>-0.23</v>
      </c>
      <c r="I84" s="55" t="n">
        <v>0.236</v>
      </c>
      <c r="J84" s="55" t="n">
        <v>0.157</v>
      </c>
    </row>
    <row r="85">
      <c r="A85" s="30" t="inlineStr">
        <is>
          <t>Oklahoma State</t>
        </is>
      </c>
      <c r="B85" s="26" t="inlineStr">
        <is>
          <t>Big 12</t>
        </is>
      </c>
      <c r="C85" s="34" t="n">
        <v>672.6900000000001</v>
      </c>
      <c r="D85" s="34" t="n">
        <v>17.7</v>
      </c>
      <c r="E85" s="53" t="n">
        <v>0.472</v>
      </c>
      <c r="F85" s="53" t="n">
        <v>1.0951</v>
      </c>
      <c r="G85" s="53" t="n">
        <v>0.09</v>
      </c>
      <c r="H85" s="53" t="n">
        <v>-0.02</v>
      </c>
      <c r="I85" s="55" t="n">
        <v>0.158</v>
      </c>
      <c r="J85" s="55" t="n">
        <v>0.096</v>
      </c>
    </row>
    <row r="86">
      <c r="A86" s="30" t="inlineStr">
        <is>
          <t>Old Dominion</t>
        </is>
      </c>
      <c r="B86" s="26" t="inlineStr">
        <is>
          <t>Sun Belt</t>
        </is>
      </c>
      <c r="C86" s="34" t="n">
        <v>544.25</v>
      </c>
      <c r="D86" s="34" t="n">
        <v>-1.7</v>
      </c>
      <c r="E86" s="53" t="n">
        <v>0.3294</v>
      </c>
      <c r="F86" s="53" t="n">
        <v>1.4526</v>
      </c>
      <c r="G86" s="53" t="n">
        <v>-0.07000000000000001</v>
      </c>
      <c r="H86" s="53" t="n">
        <v>-0.08</v>
      </c>
      <c r="I86" s="55" t="n">
        <v>0.184</v>
      </c>
      <c r="J86" s="55" t="n">
        <v>0.241</v>
      </c>
    </row>
    <row r="87">
      <c r="A87" s="30" t="inlineStr">
        <is>
          <t>Ole Miss</t>
        </is>
      </c>
      <c r="B87" s="26" t="inlineStr">
        <is>
          <t>SEC</t>
        </is>
      </c>
      <c r="C87" s="34" t="n">
        <v>885.72</v>
      </c>
      <c r="D87" s="34" t="n">
        <v>14.3</v>
      </c>
      <c r="E87" s="53" t="n">
        <v>0.507</v>
      </c>
      <c r="F87" s="53" t="n">
        <v>1.231</v>
      </c>
      <c r="G87" s="53" t="n">
        <v>0.29</v>
      </c>
      <c r="H87" s="53" t="n">
        <v>0.17</v>
      </c>
      <c r="I87" s="55" t="n">
        <v>0.166</v>
      </c>
      <c r="J87" s="55" t="n">
        <v>0.117</v>
      </c>
    </row>
    <row r="88">
      <c r="A88" s="30" t="inlineStr">
        <is>
          <t>Oregon</t>
        </is>
      </c>
      <c r="B88" s="26" t="inlineStr">
        <is>
          <t>Big Ten</t>
        </is>
      </c>
      <c r="C88" s="34" t="n">
        <v>984.33</v>
      </c>
      <c r="D88" s="34" t="n">
        <v>27.7</v>
      </c>
      <c r="E88" s="53" t="n">
        <v>0.4864</v>
      </c>
      <c r="F88" s="53" t="n">
        <v>1.3862</v>
      </c>
      <c r="G88" s="53" t="n">
        <v>0.29</v>
      </c>
      <c r="H88" s="53" t="n">
        <v>-0.11</v>
      </c>
      <c r="I88" s="55" t="n">
        <v>0.151</v>
      </c>
      <c r="J88" s="55" t="n">
        <v>0.114</v>
      </c>
    </row>
    <row r="89">
      <c r="A89" s="30" t="inlineStr">
        <is>
          <t>Oregon State</t>
        </is>
      </c>
      <c r="B89" s="26" t="inlineStr">
        <is>
          <t>Pac-12</t>
        </is>
      </c>
      <c r="C89" s="34" t="n">
        <v>635.79</v>
      </c>
      <c r="D89" s="34" t="n">
        <v>3.7</v>
      </c>
      <c r="E89" s="53" t="n">
        <v>0.4019</v>
      </c>
      <c r="F89" s="53" t="n">
        <v>1.5085</v>
      </c>
      <c r="G89" s="53" t="n">
        <v>0.24</v>
      </c>
      <c r="H89" s="53" t="n">
        <v>0.18</v>
      </c>
      <c r="I89" s="55" t="n">
        <v>0.161</v>
      </c>
      <c r="J89" s="55" t="n">
        <v>0.14</v>
      </c>
    </row>
    <row r="90">
      <c r="A90" s="30" t="inlineStr">
        <is>
          <t>Penn State</t>
        </is>
      </c>
      <c r="B90" s="26" t="inlineStr">
        <is>
          <t>Big Ten</t>
        </is>
      </c>
      <c r="C90" s="34" t="n">
        <v>774.04</v>
      </c>
      <c r="D90" s="34" t="n">
        <v>35</v>
      </c>
      <c r="E90" s="53" t="n">
        <v>0.4734</v>
      </c>
      <c r="F90" s="53" t="n">
        <v>1.3372</v>
      </c>
      <c r="G90" s="53" t="n">
        <v>0.35</v>
      </c>
      <c r="H90" s="53" t="n">
        <v>-0.13</v>
      </c>
      <c r="I90" s="55" t="n">
        <v>0.189</v>
      </c>
      <c r="J90" s="55" t="n">
        <v>0.08699999999999999</v>
      </c>
    </row>
    <row r="91">
      <c r="A91" s="30" t="inlineStr">
        <is>
          <t>Pittsburgh</t>
        </is>
      </c>
      <c r="B91" s="26" t="inlineStr">
        <is>
          <t>ACC</t>
        </is>
      </c>
      <c r="C91" s="34" t="n">
        <v>675.02</v>
      </c>
      <c r="D91" s="34" t="n">
        <v>21.3</v>
      </c>
      <c r="E91" s="53" t="n">
        <v>0.4593</v>
      </c>
      <c r="F91" s="53" t="n">
        <v>1.2204</v>
      </c>
      <c r="G91" s="53" t="n">
        <v>0.18</v>
      </c>
      <c r="H91" s="53" t="n">
        <v>-0.08</v>
      </c>
      <c r="I91" s="55" t="n">
        <v>0.172</v>
      </c>
      <c r="J91" s="55" t="n">
        <v>0.11</v>
      </c>
    </row>
    <row r="92">
      <c r="A92" s="30" t="inlineStr">
        <is>
          <t>Purdue</t>
        </is>
      </c>
      <c r="B92" s="26" t="inlineStr">
        <is>
          <t>Big Ten</t>
        </is>
      </c>
      <c r="C92" s="34" t="n">
        <v>698.33</v>
      </c>
      <c r="D92" s="34" t="n">
        <v>3</v>
      </c>
      <c r="E92" s="53" t="n">
        <v>0.4931</v>
      </c>
      <c r="F92" s="53" t="n">
        <v>1.2759</v>
      </c>
      <c r="G92" s="53" t="n">
        <v>0.33</v>
      </c>
      <c r="H92" s="53" t="n">
        <v>0.34</v>
      </c>
      <c r="I92" s="55" t="n">
        <v>0.141</v>
      </c>
      <c r="J92" s="55" t="n">
        <v>0.115</v>
      </c>
    </row>
    <row r="93">
      <c r="A93" s="30" t="inlineStr">
        <is>
          <t>Rice</t>
        </is>
      </c>
      <c r="B93" s="26" t="inlineStr">
        <is>
          <t>American</t>
        </is>
      </c>
      <c r="C93" s="34" t="n">
        <v>589.89</v>
      </c>
      <c r="D93" s="34" t="n">
        <v>-10.3</v>
      </c>
      <c r="E93" s="53" t="n">
        <v>0.4241</v>
      </c>
      <c r="F93" s="53" t="n">
        <v>1.0559</v>
      </c>
      <c r="G93" s="53" t="n">
        <v>0.03</v>
      </c>
      <c r="H93" s="53" t="n">
        <v>0.1</v>
      </c>
      <c r="I93" s="55" t="n">
        <v>0.152</v>
      </c>
      <c r="J93" s="55" t="n">
        <v>0.12</v>
      </c>
    </row>
    <row r="94">
      <c r="A94" s="30" t="inlineStr">
        <is>
          <t>Rutgers</t>
        </is>
      </c>
      <c r="B94" s="26" t="inlineStr">
        <is>
          <t>Big Ten</t>
        </is>
      </c>
      <c r="C94" s="34" t="n">
        <v>709.04</v>
      </c>
      <c r="D94" s="34" t="n">
        <v>-10</v>
      </c>
      <c r="E94" s="53" t="n">
        <v>0.4428</v>
      </c>
      <c r="F94" s="53" t="n">
        <v>1.3968</v>
      </c>
      <c r="G94" s="53" t="n">
        <v>0.03</v>
      </c>
      <c r="H94" s="53" t="n">
        <v>0.22</v>
      </c>
      <c r="I94" s="55" t="n">
        <v>0.08799999999999999</v>
      </c>
      <c r="J94" s="55" t="n">
        <v>0.184</v>
      </c>
    </row>
    <row r="95">
      <c r="A95" s="30" t="inlineStr">
        <is>
          <t>SMU</t>
        </is>
      </c>
      <c r="B95" s="26" t="inlineStr">
        <is>
          <t>ACC</t>
        </is>
      </c>
      <c r="C95" s="34" t="n">
        <v>764.5</v>
      </c>
      <c r="D95" s="34" t="n">
        <v>13</v>
      </c>
      <c r="E95" s="53" t="n">
        <v>0.5049</v>
      </c>
      <c r="F95" s="53" t="n">
        <v>1.3628</v>
      </c>
      <c r="G95" s="53" t="n">
        <v>0.27</v>
      </c>
      <c r="H95" s="53" t="n">
        <v>0.07000000000000001</v>
      </c>
      <c r="I95" s="55" t="n">
        <v>0.182</v>
      </c>
      <c r="J95" s="55" t="n">
        <v>0.132</v>
      </c>
    </row>
    <row r="96">
      <c r="A96" s="30" t="inlineStr">
        <is>
          <t>Sam Houston</t>
        </is>
      </c>
      <c r="B96" s="26" t="inlineStr">
        <is>
          <t>C-USA</t>
        </is>
      </c>
      <c r="C96" s="34" t="n">
        <v>554.47</v>
      </c>
      <c r="D96" s="34" t="n">
        <v>16.7</v>
      </c>
      <c r="E96" s="53" t="n">
        <v>0.4789</v>
      </c>
      <c r="F96" s="53" t="n">
        <v>1.2474</v>
      </c>
      <c r="G96" s="53" t="n">
        <v>0.22</v>
      </c>
      <c r="H96" s="53" t="n">
        <v>-0.03</v>
      </c>
      <c r="I96" s="55" t="n">
        <v>0.222</v>
      </c>
      <c r="J96" s="55" t="n">
        <v>0.155</v>
      </c>
    </row>
    <row r="97">
      <c r="A97" s="30" t="inlineStr">
        <is>
          <t>San Diego State</t>
        </is>
      </c>
      <c r="B97" s="26" t="inlineStr">
        <is>
          <t>Mountain West</t>
        </is>
      </c>
      <c r="C97" s="34" t="n">
        <v>609.22</v>
      </c>
      <c r="D97" s="34" t="n">
        <v>0.7</v>
      </c>
      <c r="E97" s="53" t="n">
        <v>0.3618</v>
      </c>
      <c r="F97" s="53" t="n">
        <v>1.0839</v>
      </c>
      <c r="G97" s="53" t="n">
        <v>-0.06</v>
      </c>
      <c r="H97" s="53" t="n">
        <v>0.06</v>
      </c>
      <c r="I97" s="55" t="n">
        <v>0.103</v>
      </c>
      <c r="J97" s="55" t="n">
        <v>0.171</v>
      </c>
    </row>
    <row r="98">
      <c r="A98" s="30" t="inlineStr">
        <is>
          <t>San Jose State</t>
        </is>
      </c>
      <c r="B98" s="26" t="inlineStr">
        <is>
          <t>Mountain West</t>
        </is>
      </c>
      <c r="C98" s="34" t="n">
        <v>569.25</v>
      </c>
      <c r="D98" s="34" t="n">
        <v>-4</v>
      </c>
      <c r="E98" s="53" t="n">
        <v>0.3958</v>
      </c>
      <c r="F98" s="53" t="n">
        <v>1.2245</v>
      </c>
      <c r="G98" s="53" t="n">
        <v>0.08</v>
      </c>
      <c r="H98" s="53" t="n">
        <v>0.07000000000000001</v>
      </c>
      <c r="I98" s="55" t="n">
        <v>0.136</v>
      </c>
      <c r="J98" s="55" t="n">
        <v>0.152</v>
      </c>
    </row>
    <row r="99">
      <c r="A99" s="30" t="inlineStr">
        <is>
          <t>South Alabama</t>
        </is>
      </c>
      <c r="B99" s="26" t="inlineStr">
        <is>
          <t>Sun Belt</t>
        </is>
      </c>
      <c r="C99" s="34" t="n">
        <v>573.38</v>
      </c>
      <c r="D99" s="34" t="n">
        <v>8.699999999999999</v>
      </c>
      <c r="E99" s="53" t="n">
        <v>0.4378</v>
      </c>
      <c r="F99" s="53" t="n">
        <v>1.2851</v>
      </c>
      <c r="G99" s="53" t="n">
        <v>0.24</v>
      </c>
      <c r="H99" s="53" t="n">
        <v>0.25</v>
      </c>
      <c r="I99" s="55" t="n">
        <v>0.208</v>
      </c>
      <c r="J99" s="55" t="n">
        <v>0.137</v>
      </c>
    </row>
    <row r="100">
      <c r="A100" s="30" t="inlineStr">
        <is>
          <t>South Carolina</t>
        </is>
      </c>
      <c r="B100" s="26" t="inlineStr">
        <is>
          <t>SEC</t>
        </is>
      </c>
      <c r="C100" s="34" t="n">
        <v>862.87</v>
      </c>
      <c r="D100" s="34" t="n">
        <v>28.7</v>
      </c>
      <c r="E100" s="53" t="n">
        <v>0.5158</v>
      </c>
      <c r="F100" s="53" t="n">
        <v>1.2392</v>
      </c>
      <c r="G100" s="53" t="n">
        <v>0.33</v>
      </c>
      <c r="H100" s="53" t="n">
        <v>0.04</v>
      </c>
      <c r="I100" s="55" t="n">
        <v>0.135</v>
      </c>
      <c r="J100" s="55" t="n">
        <v>0.122</v>
      </c>
    </row>
    <row r="101">
      <c r="A101" s="30" t="inlineStr">
        <is>
          <t>South Florida</t>
        </is>
      </c>
      <c r="B101" s="26" t="inlineStr">
        <is>
          <t>American</t>
        </is>
      </c>
      <c r="C101" s="34" t="n">
        <v>703.8099999999999</v>
      </c>
      <c r="D101" s="34" t="n">
        <v>18.7</v>
      </c>
      <c r="E101" s="53" t="n">
        <v>0.5333</v>
      </c>
      <c r="F101" s="53" t="n">
        <v>1.1781</v>
      </c>
      <c r="G101" s="53" t="n">
        <v>0.34</v>
      </c>
      <c r="H101" s="53" t="n">
        <v>0.04</v>
      </c>
      <c r="I101" s="55" t="n">
        <v>0.171</v>
      </c>
      <c r="J101" s="55" t="n">
        <v>0.1</v>
      </c>
    </row>
    <row r="102">
      <c r="A102" s="30" t="inlineStr">
        <is>
          <t>Southern Miss</t>
        </is>
      </c>
      <c r="B102" s="26" t="inlineStr">
        <is>
          <t>Sun Belt</t>
        </is>
      </c>
      <c r="C102" s="34" t="n">
        <v>602.63</v>
      </c>
      <c r="D102" s="34" t="n">
        <v>-5.7</v>
      </c>
      <c r="E102" s="53" t="n">
        <v>0.4505</v>
      </c>
      <c r="F102" s="53" t="n">
        <v>1.0631</v>
      </c>
      <c r="G102" s="53" t="n">
        <v>0.01</v>
      </c>
      <c r="H102" s="53" t="n">
        <v>0.12</v>
      </c>
      <c r="I102" s="55" t="n">
        <v>0.132</v>
      </c>
      <c r="J102" s="55" t="n">
        <v>0.158</v>
      </c>
    </row>
    <row r="103">
      <c r="A103" s="30" t="inlineStr">
        <is>
          <t>Stanford</t>
        </is>
      </c>
      <c r="B103" s="26" t="inlineStr">
        <is>
          <t>ACC</t>
        </is>
      </c>
      <c r="C103" s="34" t="n">
        <v>705.8099999999999</v>
      </c>
      <c r="D103" s="34" t="n">
        <v>-19</v>
      </c>
      <c r="E103" s="53" t="n">
        <v>0.3819</v>
      </c>
      <c r="F103" s="53" t="n">
        <v>1.1229</v>
      </c>
      <c r="G103" s="53" t="n">
        <v>0.08</v>
      </c>
      <c r="H103" s="53" t="n">
        <v>0.3</v>
      </c>
      <c r="I103" s="55" t="n">
        <v>0.115</v>
      </c>
      <c r="J103" s="55" t="n">
        <v>0.126</v>
      </c>
    </row>
    <row r="104">
      <c r="A104" s="30" t="inlineStr">
        <is>
          <t>Syracuse</t>
        </is>
      </c>
      <c r="B104" s="26" t="inlineStr">
        <is>
          <t>ACC</t>
        </is>
      </c>
      <c r="C104" s="34" t="n">
        <v>745.61</v>
      </c>
      <c r="D104" s="34" t="n">
        <v>15.3</v>
      </c>
      <c r="E104" s="53" t="n">
        <v>0.3992</v>
      </c>
      <c r="F104" s="53" t="n">
        <v>1.3302</v>
      </c>
      <c r="G104" s="53" t="n">
        <v>0.04</v>
      </c>
      <c r="H104" s="53" t="n">
        <v>-0.13</v>
      </c>
      <c r="I104" s="55" t="n">
        <v>0.186</v>
      </c>
      <c r="J104" s="55" t="n">
        <v>0.126</v>
      </c>
    </row>
    <row r="105">
      <c r="A105" s="30" t="inlineStr">
        <is>
          <t>TCU</t>
        </is>
      </c>
      <c r="B105" s="26" t="inlineStr">
        <is>
          <t>Big 12</t>
        </is>
      </c>
      <c r="C105" s="34" t="n">
        <v>730.79</v>
      </c>
      <c r="D105" s="34" t="n">
        <v>25</v>
      </c>
      <c r="E105" s="53" t="n">
        <v>0.4929</v>
      </c>
      <c r="F105" s="53" t="n">
        <v>1.239</v>
      </c>
      <c r="G105" s="53" t="n">
        <v>0.25</v>
      </c>
      <c r="H105" s="53" t="n">
        <v>-0.14</v>
      </c>
      <c r="I105" s="55" t="n">
        <v>0.202</v>
      </c>
      <c r="J105" s="55" t="n">
        <v>0.109</v>
      </c>
    </row>
    <row r="106">
      <c r="A106" s="30" t="inlineStr">
        <is>
          <t>Temple</t>
        </is>
      </c>
      <c r="B106" s="26" t="inlineStr">
        <is>
          <t>American</t>
        </is>
      </c>
      <c r="C106" s="34" t="n">
        <v>631.0700000000001</v>
      </c>
      <c r="D106" s="34" t="n">
        <v>1.7</v>
      </c>
      <c r="E106" s="53" t="n">
        <v>0.4227</v>
      </c>
      <c r="F106" s="53" t="n">
        <v>1.2598</v>
      </c>
      <c r="G106" s="53" t="n">
        <v>0.21</v>
      </c>
      <c r="H106" s="53" t="n">
        <v>0.2</v>
      </c>
      <c r="I106" s="55" t="n">
        <v>0.134</v>
      </c>
      <c r="J106" s="55" t="n">
        <v>0.093</v>
      </c>
    </row>
    <row r="107">
      <c r="A107" s="30" t="inlineStr">
        <is>
          <t>Tennessee</t>
        </is>
      </c>
      <c r="B107" s="26" t="inlineStr">
        <is>
          <t>SEC</t>
        </is>
      </c>
      <c r="C107" s="34" t="n">
        <v>885.9</v>
      </c>
      <c r="D107" s="34" t="n">
        <v>33.7</v>
      </c>
      <c r="E107" s="53" t="n">
        <v>0.5143</v>
      </c>
      <c r="F107" s="53" t="n">
        <v>1.2334</v>
      </c>
      <c r="G107" s="53" t="n">
        <v>0.37</v>
      </c>
      <c r="H107" s="53" t="n">
        <v>-0.07000000000000001</v>
      </c>
      <c r="I107" s="55" t="n">
        <v>0.207</v>
      </c>
      <c r="J107" s="55" t="n">
        <v>0.11</v>
      </c>
    </row>
    <row r="108">
      <c r="A108" s="30" t="inlineStr">
        <is>
          <t>Texas</t>
        </is>
      </c>
      <c r="B108" s="26" t="inlineStr">
        <is>
          <t>SEC</t>
        </is>
      </c>
      <c r="C108" s="34" t="n">
        <v>985.17</v>
      </c>
      <c r="D108" s="34" t="n">
        <v>25.7</v>
      </c>
      <c r="E108" s="53" t="n">
        <v>0.4848</v>
      </c>
      <c r="F108" s="53" t="n">
        <v>1.1366</v>
      </c>
      <c r="G108" s="53" t="n">
        <v>0.17</v>
      </c>
      <c r="H108" s="53" t="n">
        <v>-0.01</v>
      </c>
      <c r="I108" s="55" t="n">
        <v>0.195</v>
      </c>
      <c r="J108" s="55" t="n">
        <v>0.15</v>
      </c>
    </row>
    <row r="109">
      <c r="A109" s="30" t="inlineStr">
        <is>
          <t>Texas A&amp;M</t>
        </is>
      </c>
      <c r="B109" s="26" t="inlineStr">
        <is>
          <t>SEC</t>
        </is>
      </c>
      <c r="C109" s="34" t="n">
        <v>933</v>
      </c>
      <c r="D109" s="34" t="n">
        <v>22.7</v>
      </c>
      <c r="E109" s="53" t="n">
        <v>0.4703</v>
      </c>
      <c r="F109" s="53" t="n">
        <v>1.0941</v>
      </c>
      <c r="G109" s="53" t="n">
        <v>0.11</v>
      </c>
      <c r="H109" s="53" t="n">
        <v>-0.09</v>
      </c>
      <c r="I109" s="55" t="n">
        <v>0.188</v>
      </c>
      <c r="J109" s="55" t="n">
        <v>0.144</v>
      </c>
    </row>
    <row r="110">
      <c r="A110" s="30" t="inlineStr">
        <is>
          <t>Texas State</t>
        </is>
      </c>
      <c r="B110" s="26" t="inlineStr">
        <is>
          <t>Sun Belt</t>
        </is>
      </c>
      <c r="C110" s="34" t="n">
        <v>624.8099999999999</v>
      </c>
      <c r="D110" s="34" t="n">
        <v>-14.3</v>
      </c>
      <c r="E110" s="53" t="n">
        <v>0.4911</v>
      </c>
      <c r="F110" s="53" t="n">
        <v>1.1848</v>
      </c>
      <c r="G110" s="53" t="n">
        <v>0.22</v>
      </c>
      <c r="H110" s="53" t="n">
        <v>0.3</v>
      </c>
      <c r="I110" s="55" t="n">
        <v>0.139</v>
      </c>
      <c r="J110" s="55" t="n">
        <v>0.116</v>
      </c>
    </row>
    <row r="111">
      <c r="A111" s="30" t="inlineStr">
        <is>
          <t>Texas Tech</t>
        </is>
      </c>
      <c r="B111" s="26" t="inlineStr">
        <is>
          <t>Big 12</t>
        </is>
      </c>
      <c r="C111" s="34" t="n">
        <v>767.89</v>
      </c>
      <c r="D111" s="34" t="n">
        <v>12</v>
      </c>
      <c r="E111" s="53" t="n">
        <v>0.4575</v>
      </c>
      <c r="F111" s="53" t="n">
        <v>1.2081</v>
      </c>
      <c r="G111" s="53" t="n">
        <v>0.24</v>
      </c>
      <c r="H111" s="53" t="n">
        <v>0.1</v>
      </c>
      <c r="I111" s="55" t="n">
        <v>0.166</v>
      </c>
      <c r="J111" s="55" t="n">
        <v>0.16</v>
      </c>
    </row>
    <row r="112">
      <c r="A112" s="30" t="inlineStr">
        <is>
          <t>Toledo</t>
        </is>
      </c>
      <c r="B112" s="26" t="inlineStr">
        <is>
          <t>MAC</t>
        </is>
      </c>
      <c r="C112" s="34" t="n">
        <v>556.26</v>
      </c>
      <c r="D112" s="34" t="n">
        <v>14.7</v>
      </c>
      <c r="E112" s="53" t="n">
        <v>0.4404</v>
      </c>
      <c r="F112" s="53" t="n">
        <v>1.6317</v>
      </c>
      <c r="G112" s="53" t="n">
        <v>0.29</v>
      </c>
      <c r="H112" s="53" t="n">
        <v>0.02</v>
      </c>
      <c r="I112" s="55" t="n">
        <v>0.123</v>
      </c>
      <c r="J112" s="55" t="n">
        <v>0.155</v>
      </c>
    </row>
    <row r="113">
      <c r="A113" s="30" t="inlineStr">
        <is>
          <t>Troy</t>
        </is>
      </c>
      <c r="B113" s="26" t="inlineStr">
        <is>
          <t>Sun Belt</t>
        </is>
      </c>
      <c r="C113" s="34" t="n">
        <v>596.1900000000001</v>
      </c>
      <c r="D113" s="34" t="n">
        <v>3.3</v>
      </c>
      <c r="E113" s="53" t="n">
        <v>0.3649</v>
      </c>
      <c r="F113" s="53" t="n">
        <v>1.4351</v>
      </c>
      <c r="G113" s="53" t="n">
        <v>0.09</v>
      </c>
      <c r="H113" s="53" t="n">
        <v>0</v>
      </c>
      <c r="I113" s="55" t="n">
        <v>0.204</v>
      </c>
      <c r="J113" s="55" t="n">
        <v>0.218</v>
      </c>
    </row>
    <row r="114">
      <c r="A114" s="30" t="inlineStr">
        <is>
          <t>Tulane</t>
        </is>
      </c>
      <c r="B114" s="26" t="inlineStr">
        <is>
          <t>American</t>
        </is>
      </c>
      <c r="C114" s="34" t="n">
        <v>665.11</v>
      </c>
      <c r="D114" s="34" t="n">
        <v>-7</v>
      </c>
      <c r="E114" s="53" t="n">
        <v>0.3373</v>
      </c>
      <c r="F114" s="53" t="n">
        <v>1.5103</v>
      </c>
      <c r="G114" s="53" t="n">
        <v>0.09</v>
      </c>
      <c r="H114" s="53" t="n">
        <v>0.15</v>
      </c>
      <c r="I114" s="55" t="n">
        <v>0.096</v>
      </c>
      <c r="J114" s="55" t="n">
        <v>0.235</v>
      </c>
    </row>
    <row r="115">
      <c r="A115" s="30" t="inlineStr">
        <is>
          <t>Tulsa</t>
        </is>
      </c>
      <c r="B115" s="26" t="inlineStr">
        <is>
          <t>American</t>
        </is>
      </c>
      <c r="C115" s="34" t="n">
        <v>622.84</v>
      </c>
      <c r="D115" s="34" t="n">
        <v>20.7</v>
      </c>
      <c r="E115" s="53" t="n">
        <v>0.4158</v>
      </c>
      <c r="F115" s="53" t="n">
        <v>1.2614</v>
      </c>
      <c r="G115" s="53" t="n">
        <v>0.17</v>
      </c>
      <c r="H115" s="53" t="n">
        <v>-0.12</v>
      </c>
      <c r="I115" s="55" t="n">
        <v>0.15</v>
      </c>
      <c r="J115" s="55" t="n">
        <v>0.129</v>
      </c>
    </row>
    <row r="116">
      <c r="A116" s="30" t="inlineStr">
        <is>
          <t>UAB</t>
        </is>
      </c>
      <c r="B116" s="26" t="inlineStr">
        <is>
          <t>American</t>
        </is>
      </c>
      <c r="C116" s="34" t="n">
        <v>606.1799999999999</v>
      </c>
      <c r="D116" s="34" t="n">
        <v>-6.7</v>
      </c>
      <c r="E116" s="53" t="n">
        <v>0.4327</v>
      </c>
      <c r="F116" s="53" t="n">
        <v>1.108</v>
      </c>
      <c r="G116" s="53" t="n">
        <v>0.01</v>
      </c>
      <c r="H116" s="53" t="n">
        <v>0.07000000000000001</v>
      </c>
      <c r="I116" s="55" t="n">
        <v>0.124</v>
      </c>
      <c r="J116" s="55" t="n">
        <v>0.163</v>
      </c>
    </row>
    <row r="117">
      <c r="A117" s="30" t="inlineStr">
        <is>
          <t>UCF</t>
        </is>
      </c>
      <c r="B117" s="26" t="inlineStr">
        <is>
          <t>Big 12</t>
        </is>
      </c>
      <c r="C117" s="34" t="n">
        <v>672.14</v>
      </c>
      <c r="D117" s="34" t="n">
        <v>25.3</v>
      </c>
      <c r="E117" s="53" t="n">
        <v>0.4302</v>
      </c>
      <c r="F117" s="53" t="n">
        <v>1.3947</v>
      </c>
      <c r="G117" s="53" t="n">
        <v>0.17</v>
      </c>
      <c r="H117" s="53" t="n">
        <v>-0.04</v>
      </c>
      <c r="I117" s="55" t="n">
        <v>0.163</v>
      </c>
      <c r="J117" s="55" t="n">
        <v>0.145</v>
      </c>
    </row>
    <row r="118">
      <c r="A118" s="30" t="inlineStr">
        <is>
          <t>UCLA</t>
        </is>
      </c>
      <c r="B118" s="26" t="inlineStr">
        <is>
          <t>Big Ten</t>
        </is>
      </c>
      <c r="C118" s="34" t="n">
        <v>774.45</v>
      </c>
      <c r="D118" s="34" t="n">
        <v>17.7</v>
      </c>
      <c r="E118" s="53" t="n">
        <v>0.5224</v>
      </c>
      <c r="F118" s="53" t="n">
        <v>1.2779</v>
      </c>
      <c r="G118" s="53" t="n">
        <v>0.36</v>
      </c>
      <c r="H118" s="53" t="n">
        <v>0.02</v>
      </c>
      <c r="I118" s="55" t="n">
        <v>0.166</v>
      </c>
      <c r="J118" s="55" t="n">
        <v>0.114</v>
      </c>
    </row>
    <row r="119">
      <c r="A119" s="30" t="inlineStr">
        <is>
          <t>UConn</t>
        </is>
      </c>
      <c r="B119" s="26" t="inlineStr">
        <is>
          <t>Independent</t>
        </is>
      </c>
      <c r="C119" s="34" t="n">
        <v>652.5599999999999</v>
      </c>
      <c r="D119" s="34" t="n">
        <v>17.7</v>
      </c>
      <c r="E119" s="53" t="n">
        <v>0.45</v>
      </c>
      <c r="F119" s="53" t="n">
        <v>1.3897</v>
      </c>
      <c r="G119" s="53" t="n">
        <v>0.27</v>
      </c>
      <c r="H119" s="53" t="n">
        <v>-0.03</v>
      </c>
      <c r="I119" s="55" t="n">
        <v>0.171</v>
      </c>
      <c r="J119" s="55" t="n">
        <v>0.13</v>
      </c>
    </row>
    <row r="120">
      <c r="A120" s="30" t="inlineStr">
        <is>
          <t>UMass</t>
        </is>
      </c>
      <c r="B120" s="26" t="inlineStr">
        <is>
          <t>MAC</t>
        </is>
      </c>
      <c r="C120" s="34" t="n">
        <v>525.9400000000001</v>
      </c>
      <c r="D120" s="34" t="n">
        <v>21.7</v>
      </c>
      <c r="E120" s="53" t="n">
        <v>0.4699</v>
      </c>
      <c r="F120" s="53" t="n">
        <v>1.2334</v>
      </c>
      <c r="G120" s="53" t="n">
        <v>0.29</v>
      </c>
      <c r="H120" s="53" t="n">
        <v>-0.15</v>
      </c>
      <c r="I120" s="55" t="n">
        <v>0.17</v>
      </c>
      <c r="J120" s="55" t="n">
        <v>0.102</v>
      </c>
    </row>
    <row r="121">
      <c r="A121" s="30" t="inlineStr">
        <is>
          <t>UNLV</t>
        </is>
      </c>
      <c r="B121" s="26" t="inlineStr">
        <is>
          <t>Mountain West</t>
        </is>
      </c>
      <c r="C121" s="34" t="n">
        <v>696.03</v>
      </c>
      <c r="D121" s="34" t="n">
        <v>-9.699999999999999</v>
      </c>
      <c r="E121" s="53" t="n">
        <v>0.3532</v>
      </c>
      <c r="F121" s="53" t="n">
        <v>1.1624</v>
      </c>
      <c r="G121" s="53" t="n">
        <v>-0.05</v>
      </c>
      <c r="H121" s="53" t="n">
        <v>0.15</v>
      </c>
      <c r="I121" s="55" t="n">
        <v>0.15</v>
      </c>
      <c r="J121" s="55" t="n">
        <v>0.179</v>
      </c>
    </row>
    <row r="122">
      <c r="A122" s="30" t="inlineStr">
        <is>
          <t>USC</t>
        </is>
      </c>
      <c r="B122" s="26" t="inlineStr">
        <is>
          <t>Big Ten</t>
        </is>
      </c>
      <c r="C122" s="34" t="n">
        <v>899</v>
      </c>
      <c r="D122" s="34" t="n">
        <v>20.2</v>
      </c>
      <c r="E122" s="53" t="n">
        <v>0.5614</v>
      </c>
      <c r="F122" s="53" t="n">
        <v>1.1218</v>
      </c>
      <c r="G122" s="53" t="n">
        <v>0.32</v>
      </c>
      <c r="H122" s="53" t="n">
        <v>0.11</v>
      </c>
      <c r="I122" s="55" t="n">
        <v>0.124</v>
      </c>
      <c r="J122" s="55" t="n">
        <v>0.067</v>
      </c>
    </row>
    <row r="123">
      <c r="A123" s="30" t="inlineStr">
        <is>
          <t>UTEP</t>
        </is>
      </c>
      <c r="B123" s="26" t="inlineStr">
        <is>
          <t>C-USA</t>
        </is>
      </c>
      <c r="C123" s="34" t="n">
        <v>585.76</v>
      </c>
      <c r="D123" s="34" t="n">
        <v>-15</v>
      </c>
      <c r="E123" s="53" t="n">
        <v>0.3789</v>
      </c>
      <c r="F123" s="53" t="n">
        <v>1.2094</v>
      </c>
      <c r="G123" s="53" t="n">
        <v>-0.17</v>
      </c>
      <c r="H123" s="53" t="n">
        <v>0.23</v>
      </c>
      <c r="I123" s="55" t="n">
        <v>0.133</v>
      </c>
      <c r="J123" s="55" t="n">
        <v>0.23</v>
      </c>
    </row>
    <row r="124">
      <c r="A124" s="30" t="inlineStr">
        <is>
          <t>UTSA</t>
        </is>
      </c>
      <c r="B124" s="26" t="inlineStr">
        <is>
          <t>American</t>
        </is>
      </c>
      <c r="C124" s="34" t="n">
        <v>655.8200000000001</v>
      </c>
      <c r="D124" s="34" t="n">
        <v>3.3</v>
      </c>
      <c r="E124" s="53" t="n">
        <v>0.4722</v>
      </c>
      <c r="F124" s="53" t="n">
        <v>1.0136</v>
      </c>
      <c r="G124" s="53" t="n">
        <v>0.21</v>
      </c>
      <c r="H124" s="53" t="n">
        <v>0.01</v>
      </c>
      <c r="I124" s="55" t="n">
        <v>0.133</v>
      </c>
      <c r="J124" s="55" t="n">
        <v>0.148</v>
      </c>
    </row>
    <row r="125">
      <c r="A125" s="30" t="inlineStr">
        <is>
          <t>Utah</t>
        </is>
      </c>
      <c r="B125" s="26" t="inlineStr">
        <is>
          <t>Big 12</t>
        </is>
      </c>
      <c r="C125" s="34" t="n">
        <v>695.72</v>
      </c>
      <c r="D125" s="34" t="n">
        <v>39.3</v>
      </c>
      <c r="E125" s="53" t="n">
        <v>0.5023</v>
      </c>
      <c r="F125" s="53" t="n">
        <v>1.3941</v>
      </c>
      <c r="G125" s="53" t="n">
        <v>0.33</v>
      </c>
      <c r="H125" s="53" t="n">
        <v>-0.06</v>
      </c>
      <c r="I125" s="55" t="n">
        <v>0.199</v>
      </c>
      <c r="J125" s="55" t="n">
        <v>0.122</v>
      </c>
    </row>
    <row r="126">
      <c r="A126" s="30" t="inlineStr">
        <is>
          <t>Utah State</t>
        </is>
      </c>
      <c r="B126" s="26" t="inlineStr">
        <is>
          <t>Mountain West</t>
        </is>
      </c>
      <c r="C126" s="34" t="n">
        <v>543.98</v>
      </c>
      <c r="D126" s="34" t="n">
        <v>-15.7</v>
      </c>
      <c r="E126" s="53" t="n">
        <v>0.3416</v>
      </c>
      <c r="F126" s="53" t="n">
        <v>1.3274</v>
      </c>
      <c r="G126" s="53" t="n">
        <v>-0.14</v>
      </c>
      <c r="H126" s="53" t="n">
        <v>0.09</v>
      </c>
      <c r="I126" s="55" t="n">
        <v>0.126</v>
      </c>
      <c r="J126" s="55" t="n">
        <v>0.203</v>
      </c>
    </row>
    <row r="127">
      <c r="A127" s="30" t="inlineStr">
        <is>
          <t>Vanderbilt</t>
        </is>
      </c>
      <c r="B127" s="26" t="inlineStr">
        <is>
          <t>SEC</t>
        </is>
      </c>
      <c r="C127" s="34" t="n">
        <v>727.39</v>
      </c>
      <c r="D127" s="34" t="n">
        <v>10.7</v>
      </c>
      <c r="E127" s="53" t="n">
        <v>0.4352</v>
      </c>
      <c r="F127" s="53" t="n">
        <v>1.2155</v>
      </c>
      <c r="G127" s="53" t="n">
        <v>0.18</v>
      </c>
      <c r="H127" s="53" t="n">
        <v>-0.06</v>
      </c>
      <c r="I127" s="55" t="n">
        <v>0.209</v>
      </c>
      <c r="J127" s="55" t="n">
        <v>0.13</v>
      </c>
    </row>
    <row r="128">
      <c r="A128" s="30" t="inlineStr">
        <is>
          <t>Virginia</t>
        </is>
      </c>
      <c r="B128" s="26" t="inlineStr">
        <is>
          <t>ACC</t>
        </is>
      </c>
      <c r="C128" s="34" t="n">
        <v>700.1799999999999</v>
      </c>
      <c r="D128" s="34" t="n">
        <v>23.7</v>
      </c>
      <c r="E128" s="53" t="n">
        <v>0.4879</v>
      </c>
      <c r="F128" s="53" t="n">
        <v>1.1442</v>
      </c>
      <c r="G128" s="53" t="n">
        <v>0.27</v>
      </c>
      <c r="H128" s="53" t="n">
        <v>-0.12</v>
      </c>
      <c r="I128" s="55" t="n">
        <v>0.183</v>
      </c>
      <c r="J128" s="55" t="n">
        <v>0.097</v>
      </c>
    </row>
    <row r="129">
      <c r="A129" s="30" t="inlineStr">
        <is>
          <t>Virginia Tech</t>
        </is>
      </c>
      <c r="B129" s="26" t="inlineStr">
        <is>
          <t>ACC</t>
        </is>
      </c>
      <c r="C129" s="34" t="n">
        <v>769.12</v>
      </c>
      <c r="D129" s="34" t="n">
        <v>34</v>
      </c>
      <c r="E129" s="53" t="n">
        <v>0.5021</v>
      </c>
      <c r="F129" s="53" t="n">
        <v>1.2438</v>
      </c>
      <c r="G129" s="53" t="n">
        <v>0.34</v>
      </c>
      <c r="H129" s="53" t="n">
        <v>-0.04</v>
      </c>
      <c r="I129" s="55" t="n">
        <v>0.279</v>
      </c>
      <c r="J129" s="55" t="n">
        <v>0.092</v>
      </c>
    </row>
    <row r="130">
      <c r="A130" s="30" t="inlineStr">
        <is>
          <t>Wake Forest</t>
        </is>
      </c>
      <c r="B130" s="26" t="inlineStr">
        <is>
          <t>ACC</t>
        </is>
      </c>
      <c r="C130" s="34" t="n">
        <v>680.87</v>
      </c>
      <c r="D130" s="34" t="n">
        <v>3.7</v>
      </c>
      <c r="E130" s="53" t="n">
        <v>0.4577</v>
      </c>
      <c r="F130" s="53" t="n">
        <v>1.3264</v>
      </c>
      <c r="G130" s="53" t="n">
        <v>0.3</v>
      </c>
      <c r="H130" s="53" t="n">
        <v>0.18</v>
      </c>
      <c r="I130" s="55" t="n">
        <v>0.113</v>
      </c>
      <c r="J130" s="55" t="n">
        <v>0.124</v>
      </c>
    </row>
    <row r="131">
      <c r="A131" s="30" t="inlineStr">
        <is>
          <t>Washington</t>
        </is>
      </c>
      <c r="B131" s="26" t="inlineStr">
        <is>
          <t>Big Ten</t>
        </is>
      </c>
      <c r="C131" s="34" t="n">
        <v>777.63</v>
      </c>
      <c r="D131" s="34" t="n">
        <v>16</v>
      </c>
      <c r="E131" s="53" t="n">
        <v>0.4631</v>
      </c>
      <c r="F131" s="53" t="n">
        <v>1.1341</v>
      </c>
      <c r="G131" s="53" t="n">
        <v>0.17</v>
      </c>
      <c r="H131" s="53" t="n">
        <v>-0.21</v>
      </c>
      <c r="I131" s="55" t="n">
        <v>0.229</v>
      </c>
      <c r="J131" s="55" t="n">
        <v>0.089</v>
      </c>
    </row>
    <row r="132">
      <c r="A132" s="30" t="inlineStr">
        <is>
          <t>Washington State</t>
        </is>
      </c>
      <c r="B132" s="26" t="inlineStr">
        <is>
          <t>Pac-12</t>
        </is>
      </c>
      <c r="C132" s="34" t="n">
        <v>630.29</v>
      </c>
      <c r="D132" s="34" t="n">
        <v>0</v>
      </c>
      <c r="E132" s="53" t="n">
        <v>0.3815</v>
      </c>
      <c r="F132" s="53" t="n">
        <v>1.1934</v>
      </c>
      <c r="G132" s="53" t="n">
        <v>-0.02</v>
      </c>
      <c r="H132" s="53" t="n">
        <v>-0.03</v>
      </c>
      <c r="I132" s="55" t="n">
        <v>0.124</v>
      </c>
      <c r="J132" s="55" t="n">
        <v>0.208</v>
      </c>
    </row>
    <row r="133">
      <c r="A133" s="30" t="inlineStr">
        <is>
          <t>West Virginia</t>
        </is>
      </c>
      <c r="B133" s="26" t="inlineStr">
        <is>
          <t>Big 12</t>
        </is>
      </c>
      <c r="C133" s="34" t="n">
        <v>707.6</v>
      </c>
      <c r="D133" s="34" t="n">
        <v>21</v>
      </c>
      <c r="E133" s="53" t="n">
        <v>0.4545</v>
      </c>
      <c r="F133" s="53" t="n">
        <v>1.2531</v>
      </c>
      <c r="G133" s="53" t="n">
        <v>0.28</v>
      </c>
      <c r="H133" s="53" t="n">
        <v>0.03</v>
      </c>
      <c r="I133" s="55" t="n">
        <v>0.181</v>
      </c>
      <c r="J133" s="55" t="n">
        <v>0.08599999999999999</v>
      </c>
    </row>
    <row r="134">
      <c r="A134" s="30" t="inlineStr">
        <is>
          <t>Western Kentucky</t>
        </is>
      </c>
      <c r="B134" s="26" t="inlineStr">
        <is>
          <t>C-USA</t>
        </is>
      </c>
      <c r="C134" s="34" t="n">
        <v>611.52</v>
      </c>
      <c r="D134" s="34" t="n">
        <v>-41</v>
      </c>
      <c r="E134" s="53" t="n">
        <v>0.3288</v>
      </c>
      <c r="F134" s="53" t="n">
        <v>1.1136</v>
      </c>
      <c r="G134" s="53" t="n">
        <v>-0.15</v>
      </c>
      <c r="H134" s="53" t="n">
        <v>0.45</v>
      </c>
      <c r="I134" s="55" t="n">
        <v>0.101</v>
      </c>
      <c r="J134" s="55" t="n">
        <v>0.178</v>
      </c>
    </row>
    <row r="135">
      <c r="A135" s="30" t="inlineStr">
        <is>
          <t>Western Michigan</t>
        </is>
      </c>
      <c r="B135" s="26" t="inlineStr">
        <is>
          <t>MAC</t>
        </is>
      </c>
      <c r="C135" s="34" t="n">
        <v>572.2</v>
      </c>
      <c r="D135" s="34" t="n">
        <v>13.7</v>
      </c>
      <c r="E135" s="53" t="n">
        <v>0.4041</v>
      </c>
      <c r="F135" s="53" t="n">
        <v>1.211</v>
      </c>
      <c r="G135" s="53" t="n">
        <v>0.16</v>
      </c>
      <c r="H135" s="53" t="n">
        <v>0.01</v>
      </c>
      <c r="I135" s="55" t="n">
        <v>0.129</v>
      </c>
      <c r="J135" s="55" t="n">
        <v>0.13</v>
      </c>
    </row>
    <row r="136">
      <c r="A136" s="30" t="inlineStr">
        <is>
          <t>Wisconsin</t>
        </is>
      </c>
      <c r="B136" s="26" t="inlineStr">
        <is>
          <t>Big Ten</t>
        </is>
      </c>
      <c r="C136" s="34" t="n">
        <v>767.6799999999999</v>
      </c>
      <c r="D136" s="34" t="n">
        <v>14.3</v>
      </c>
      <c r="E136" s="53" t="n">
        <v>0.4444</v>
      </c>
      <c r="F136" s="53" t="n">
        <v>1.3631</v>
      </c>
      <c r="G136" s="53" t="n">
        <v>0.21</v>
      </c>
      <c r="H136" s="53" t="n">
        <v>-0.01</v>
      </c>
      <c r="I136" s="55" t="n">
        <v>0.147</v>
      </c>
      <c r="J136" s="55" t="n">
        <v>0.144</v>
      </c>
    </row>
    <row r="137">
      <c r="A137" s="30" t="inlineStr">
        <is>
          <t>Wyoming</t>
        </is>
      </c>
      <c r="B137" s="26" t="inlineStr">
        <is>
          <t>Mountain West</t>
        </is>
      </c>
      <c r="C137" s="34" t="n">
        <v>528.29</v>
      </c>
      <c r="D137" s="34" t="n">
        <v>-9.300000000000001</v>
      </c>
      <c r="E137" s="53" t="n">
        <v>0.4213</v>
      </c>
      <c r="F137" s="53" t="n">
        <v>1.0611</v>
      </c>
      <c r="G137" s="53" t="n">
        <v>0.04</v>
      </c>
      <c r="H137" s="53" t="n">
        <v>0.14</v>
      </c>
      <c r="I137" s="55" t="n">
        <v>0.118</v>
      </c>
      <c r="J137" s="55" t="n">
        <v>0.174</v>
      </c>
    </row>
    <row r="138">
      <c r="A138" s="30" t="inlineStr">
        <is>
          <t>North Dakota State</t>
        </is>
      </c>
      <c r="B138" s="26" t="inlineStr">
        <is>
          <t>Mountain West</t>
        </is>
      </c>
      <c r="C138" s="34" t="n">
        <v>515.59</v>
      </c>
      <c r="D138" s="34" t="n">
        <v>22.8</v>
      </c>
      <c r="E138" s="53" t="n">
        <v>0.4</v>
      </c>
      <c r="F138" s="53" t="n">
        <v>1.4137</v>
      </c>
      <c r="G138" s="53" t="n">
        <v>0.16</v>
      </c>
      <c r="H138" s="53" t="n">
        <v>-0.16</v>
      </c>
      <c r="I138" s="55" t="n">
        <v>0.183</v>
      </c>
      <c r="J138" s="55" t="n">
        <v>0.115</v>
      </c>
    </row>
    <row r="139">
      <c r="A139" s="30" t="inlineStr">
        <is>
          <t>Sacramento State</t>
        </is>
      </c>
      <c r="B139" s="26" t="inlineStr">
        <is>
          <t>Mid-American</t>
        </is>
      </c>
      <c r="C139" s="34" t="n">
        <v>561.42</v>
      </c>
      <c r="D139" s="34" t="n">
        <v>-6.5</v>
      </c>
      <c r="E139" s="53" t="n">
        <v>0.4111</v>
      </c>
      <c r="F139" s="53" t="n">
        <v>1.1127</v>
      </c>
      <c r="G139" s="53" t="n">
        <v>-0.04</v>
      </c>
      <c r="H139" s="53" t="n">
        <v>0.1</v>
      </c>
      <c r="I139" s="55" t="n">
        <v>0.133</v>
      </c>
      <c r="J139" s="55" t="n">
        <v>0.178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2" customWidth="1" min="3" max="3"/>
  </cols>
  <sheetData>
    <row r="1" ht="30" customHeight="1">
      <c r="A1" s="1" t="inlineStr">
        <is>
          <t>Weights &amp; Model Parameters</t>
        </is>
      </c>
    </row>
    <row r="2" ht="6" customHeight="1">
      <c r="A2" s="71" t="n"/>
    </row>
    <row r="4">
      <c r="A4" s="36" t="inlineStr">
        <is>
          <t>BLEND WEIGHTS  (how the power rating is mixed)</t>
        </is>
      </c>
    </row>
    <row r="5">
      <c r="A5" s="4" t="inlineStr">
        <is>
          <t>SP+ Baseline</t>
        </is>
      </c>
      <c r="B5" s="37" t="n">
        <v>0.4</v>
      </c>
      <c r="C5" s="38" t="n"/>
    </row>
    <row r="6">
      <c r="A6" s="4" t="inlineStr">
        <is>
          <t>Roster Talent</t>
        </is>
      </c>
      <c r="B6" s="37" t="n">
        <v>0.25</v>
      </c>
      <c r="C6" s="38" t="n"/>
    </row>
    <row r="7">
      <c r="A7" s="4" t="inlineStr">
        <is>
          <t>Recent Form (4-week)</t>
        </is>
      </c>
      <c r="B7" s="37" t="n">
        <v>0.25</v>
      </c>
      <c r="C7" s="38" t="n"/>
    </row>
    <row r="8">
      <c r="A8" s="4" t="inlineStr">
        <is>
          <t>Efficiency (SR / Expl / PPA)</t>
        </is>
      </c>
      <c r="B8" s="37" t="n">
        <v>0.1</v>
      </c>
      <c r="C8" s="38" t="n"/>
    </row>
    <row r="9">
      <c r="A9" s="39" t="inlineStr">
        <is>
          <t>TOTAL (must = 100%)</t>
        </is>
      </c>
      <c r="B9" s="15">
        <f>SUM(B5:B8)</f>
        <v/>
      </c>
      <c r="C9" s="40">
        <f>IF(ROUND(B9,4)=1,"OK","FIX: weights must total 100%")</f>
        <v/>
      </c>
    </row>
    <row r="11">
      <c r="A11" s="36" t="inlineStr">
        <is>
          <t>GAME PARAMETERS</t>
        </is>
      </c>
    </row>
    <row r="12">
      <c r="A12" s="4" t="inlineStr">
        <is>
          <t>Home-Field Advantage (pts)</t>
        </is>
      </c>
      <c r="B12" s="41" t="n">
        <v>2.5</v>
      </c>
      <c r="C12" s="38" t="n"/>
    </row>
    <row r="13">
      <c r="A13" s="4" t="inlineStr">
        <is>
          <t>Outcome Std Dev  σ (pts)</t>
        </is>
      </c>
      <c r="B13" s="41" t="n">
        <v>16</v>
      </c>
      <c r="C13" s="38" t="n"/>
    </row>
    <row r="14">
      <c r="A14" s="4" t="inlineStr">
        <is>
          <t>SP+ Std Dev (auto)</t>
        </is>
      </c>
      <c r="B14" s="42">
        <f>STDEV('Weekly Input'!$B$2:$B$139)</f>
        <v/>
      </c>
      <c r="C14" s="38" t="n"/>
    </row>
    <row r="16">
      <c r="A16" s="36" t="inlineStr">
        <is>
          <t>HAVOC TILT  (added on top of the 100% blend)</t>
        </is>
      </c>
    </row>
    <row r="17">
      <c r="A17" s="4" t="inlineStr">
        <is>
          <t>Havoc weight</t>
        </is>
      </c>
      <c r="B17" s="37" t="n">
        <v>0.05</v>
      </c>
      <c r="C17" s="38" t="n"/>
    </row>
  </sheetData>
  <mergeCells count="2">
    <mergeCell ref="A1:D1"/>
    <mergeCell ref="A2:D2"/>
  </mergeCells>
  <conditionalFormatting sqref="B9">
    <cfRule type="cellIs" priority="1" operator="notEqual" dxfId="0">
      <formula>1</formula>
    </cfRule>
    <cfRule type="cellIs" priority="2" operator="equal" dxfId="1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2026-09-13T10:57:47Z</dcterms:created>
  <dcterms:modified xmlns:dcterms="http://purl.org/dc/terms/" xmlns:xsi="http://www.w3.org/2001/XMLSchema-instance" xsi:type="dcterms:W3CDTF">2026-09-23T12:41:26Z</dcterms:modified>
</cp:coreProperties>
</file>